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1"/>
  <workbookPr/>
  <mc:AlternateContent xmlns:mc="http://schemas.openxmlformats.org/markup-compatibility/2006">
    <mc:Choice Requires="x15">
      <x15ac:absPath xmlns:x15ac="http://schemas.microsoft.com/office/spreadsheetml/2010/11/ac" url="https://maynoothuniversity-my.sharepoint.com/personal/amr_mahfouz_mu_ie/Documents/Documents/Research/Research Career/Amr Research/Journal Papers-new/Brexit Publications/Brexit Simulatin Article/ML metamodel and XAI - Ali/Experimental Design and Analysis/"/>
    </mc:Choice>
  </mc:AlternateContent>
  <xr:revisionPtr revIDLastSave="334" documentId="8_{2A2DF278-575B-874E-9BCD-7CCF6F1D13AA}" xr6:coauthVersionLast="47" xr6:coauthVersionMax="47" xr10:uidLastSave="{F9623760-08D4-D349-AD99-BBB5E59834D0}"/>
  <bookViews>
    <workbookView xWindow="0" yWindow="500" windowWidth="51200" windowHeight="28300" activeTab="1" xr2:uid="{00000000-000D-0000-FFFF-FFFF00000000}"/>
  </bookViews>
  <sheets>
    <sheet name="Input Parameter Design" sheetId="8" r:id="rId1"/>
    <sheet name="Output Indicator Design" sheetId="9" r:id="rId2"/>
    <sheet name="NOLH Designs (2)" sheetId="4" r:id="rId3"/>
    <sheet name="Actual Values" sheetId="2" r:id="rId4"/>
    <sheet name="ExpValues Eq" sheetId="3" r:id="rId5"/>
    <sheet name="ExpValues" sheetId="10" r:id="rId6"/>
    <sheet name="SimResult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3" l="1"/>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5" i="3"/>
  <c r="D6" i="3"/>
  <c r="D7" i="3"/>
  <c r="D8" i="3"/>
  <c r="D9" i="3"/>
  <c r="D10" i="3"/>
  <c r="D11" i="3"/>
  <c r="D12" i="3"/>
  <c r="D13" i="3"/>
  <c r="D14" i="3"/>
  <c r="D15" i="3"/>
  <c r="D16" i="3"/>
  <c r="D17" i="3"/>
  <c r="D18" i="3"/>
  <c r="D19" i="3"/>
  <c r="D20" i="3"/>
  <c r="D21" i="3"/>
  <c r="D22" i="3"/>
  <c r="D4"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5" i="3"/>
  <c r="C6" i="3"/>
  <c r="C7" i="3"/>
  <c r="C8" i="3"/>
  <c r="C9" i="3"/>
  <c r="C10" i="3"/>
  <c r="C11" i="3"/>
  <c r="C12" i="3"/>
  <c r="C13" i="3"/>
  <c r="C14" i="3"/>
  <c r="C15" i="3"/>
  <c r="C16" i="3"/>
  <c r="C17" i="3"/>
  <c r="C18" i="3"/>
  <c r="C4"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5" i="3"/>
  <c r="B6" i="3"/>
  <c r="B7" i="3"/>
  <c r="B8" i="3"/>
  <c r="B9" i="3"/>
  <c r="B10" i="3"/>
  <c r="B11" i="3"/>
  <c r="B12" i="3"/>
  <c r="B13" i="3"/>
  <c r="B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4" i="3"/>
  <c r="O5" i="3" l="1"/>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G109" i="3" l="1"/>
  <c r="H109" i="3"/>
  <c r="G37" i="3"/>
  <c r="H37" i="3"/>
  <c r="H25" i="3"/>
  <c r="G25" i="3"/>
  <c r="H13" i="3"/>
  <c r="G13" i="3"/>
  <c r="K130" i="3"/>
  <c r="J130" i="3"/>
  <c r="K118" i="3"/>
  <c r="J118" i="3"/>
  <c r="J106" i="3"/>
  <c r="K106" i="3"/>
  <c r="K94" i="3"/>
  <c r="J94" i="3"/>
  <c r="J82" i="3"/>
  <c r="K82" i="3"/>
  <c r="J70" i="3"/>
  <c r="K70" i="3"/>
  <c r="K58" i="3"/>
  <c r="J58" i="3"/>
  <c r="J46" i="3"/>
  <c r="K46" i="3"/>
  <c r="J34" i="3"/>
  <c r="K34" i="3"/>
  <c r="K22" i="3"/>
  <c r="J22" i="3"/>
  <c r="K10" i="3"/>
  <c r="J10" i="3"/>
  <c r="M127" i="3"/>
  <c r="N127" i="3"/>
  <c r="M115" i="3"/>
  <c r="N115" i="3"/>
  <c r="M103" i="3"/>
  <c r="N103" i="3"/>
  <c r="M91" i="3"/>
  <c r="N91" i="3"/>
  <c r="M79" i="3"/>
  <c r="N79" i="3"/>
  <c r="M67" i="3"/>
  <c r="N67" i="3"/>
  <c r="M55" i="3"/>
  <c r="N55" i="3"/>
  <c r="M43" i="3"/>
  <c r="N43" i="3"/>
  <c r="M31" i="3"/>
  <c r="N31" i="3"/>
  <c r="M19" i="3"/>
  <c r="N19" i="3"/>
  <c r="M7" i="3"/>
  <c r="N7" i="3"/>
  <c r="Q124" i="3"/>
  <c r="P124" i="3"/>
  <c r="Q112" i="3"/>
  <c r="P112" i="3"/>
  <c r="Q100" i="3"/>
  <c r="P100" i="3"/>
  <c r="Q88" i="3"/>
  <c r="P88" i="3"/>
  <c r="Q76" i="3"/>
  <c r="P76" i="3"/>
  <c r="Q64" i="3"/>
  <c r="P64" i="3"/>
  <c r="Q52" i="3"/>
  <c r="P52" i="3"/>
  <c r="Q40" i="3"/>
  <c r="P40" i="3"/>
  <c r="Q28" i="3"/>
  <c r="P28" i="3"/>
  <c r="Q16" i="3"/>
  <c r="P16" i="3"/>
  <c r="G101" i="3"/>
  <c r="H101" i="3"/>
  <c r="V5" i="4"/>
  <c r="F4" i="3"/>
  <c r="H121" i="3"/>
  <c r="G121" i="3"/>
  <c r="H61" i="3"/>
  <c r="G61" i="3"/>
  <c r="G49" i="3"/>
  <c r="H49" i="3"/>
  <c r="G132" i="3"/>
  <c r="H132" i="3"/>
  <c r="G96" i="3"/>
  <c r="H96" i="3"/>
  <c r="G84" i="3"/>
  <c r="H84" i="3"/>
  <c r="G72" i="3"/>
  <c r="H72" i="3"/>
  <c r="G60" i="3"/>
  <c r="H60" i="3"/>
  <c r="G48" i="3"/>
  <c r="H48" i="3"/>
  <c r="G36" i="3"/>
  <c r="H36" i="3"/>
  <c r="G24" i="3"/>
  <c r="H24" i="3"/>
  <c r="G12" i="3"/>
  <c r="H12" i="3"/>
  <c r="K129" i="3"/>
  <c r="J129" i="3"/>
  <c r="K117" i="3"/>
  <c r="J117" i="3"/>
  <c r="J105" i="3"/>
  <c r="K105" i="3"/>
  <c r="K93" i="3"/>
  <c r="J93" i="3"/>
  <c r="K81" i="3"/>
  <c r="J81" i="3"/>
  <c r="J69" i="3"/>
  <c r="K69" i="3"/>
  <c r="K57" i="3"/>
  <c r="J57" i="3"/>
  <c r="J45" i="3"/>
  <c r="K45" i="3"/>
  <c r="J33" i="3"/>
  <c r="K33" i="3"/>
  <c r="K21" i="3"/>
  <c r="J21" i="3"/>
  <c r="K9" i="3"/>
  <c r="J9" i="3"/>
  <c r="M126" i="3"/>
  <c r="N126" i="3"/>
  <c r="M114" i="3"/>
  <c r="N114" i="3"/>
  <c r="M102" i="3"/>
  <c r="N102" i="3"/>
  <c r="M90" i="3"/>
  <c r="N90" i="3"/>
  <c r="M78" i="3"/>
  <c r="N78" i="3"/>
  <c r="M66" i="3"/>
  <c r="N66" i="3"/>
  <c r="M54" i="3"/>
  <c r="N54" i="3"/>
  <c r="M42" i="3"/>
  <c r="N42" i="3"/>
  <c r="M30" i="3"/>
  <c r="N30" i="3"/>
  <c r="M18" i="3"/>
  <c r="N18" i="3"/>
  <c r="M6" i="3"/>
  <c r="N6" i="3"/>
  <c r="Q123" i="3"/>
  <c r="P123" i="3"/>
  <c r="Q111" i="3"/>
  <c r="P111" i="3"/>
  <c r="Q99" i="3"/>
  <c r="P99" i="3"/>
  <c r="Q87" i="3"/>
  <c r="P87" i="3"/>
  <c r="Q75" i="3"/>
  <c r="P75" i="3"/>
  <c r="Q63" i="3"/>
  <c r="P63" i="3"/>
  <c r="Q51" i="3"/>
  <c r="P51" i="3"/>
  <c r="Q39" i="3"/>
  <c r="P39" i="3"/>
  <c r="Q27" i="3"/>
  <c r="P27" i="3"/>
  <c r="Q15" i="3"/>
  <c r="P15" i="3"/>
  <c r="H104" i="3"/>
  <c r="G104" i="3"/>
  <c r="G102" i="3"/>
  <c r="H102" i="3"/>
  <c r="H113" i="3"/>
  <c r="G113" i="3"/>
  <c r="H85" i="3"/>
  <c r="G85" i="3"/>
  <c r="G108" i="3"/>
  <c r="H108" i="3"/>
  <c r="G71" i="3"/>
  <c r="H71" i="3"/>
  <c r="H59" i="3"/>
  <c r="G59" i="3"/>
  <c r="H47" i="3"/>
  <c r="G47" i="3"/>
  <c r="G35" i="3"/>
  <c r="H35" i="3"/>
  <c r="G23" i="3"/>
  <c r="H23" i="3"/>
  <c r="H11" i="3"/>
  <c r="G11" i="3"/>
  <c r="K128" i="3"/>
  <c r="J128" i="3"/>
  <c r="K116" i="3"/>
  <c r="J116" i="3"/>
  <c r="K104" i="3"/>
  <c r="J104" i="3"/>
  <c r="K92" i="3"/>
  <c r="J92" i="3"/>
  <c r="K80" i="3"/>
  <c r="J80" i="3"/>
  <c r="K68" i="3"/>
  <c r="J68" i="3"/>
  <c r="K56" i="3"/>
  <c r="J56" i="3"/>
  <c r="K44" i="3"/>
  <c r="J44" i="3"/>
  <c r="K32" i="3"/>
  <c r="J32" i="3"/>
  <c r="K20" i="3"/>
  <c r="J20" i="3"/>
  <c r="K8" i="3"/>
  <c r="J8" i="3"/>
  <c r="M125" i="3"/>
  <c r="N125" i="3"/>
  <c r="M113" i="3"/>
  <c r="N113" i="3"/>
  <c r="M101" i="3"/>
  <c r="N101" i="3"/>
  <c r="M89" i="3"/>
  <c r="N89" i="3"/>
  <c r="M77" i="3"/>
  <c r="N77" i="3"/>
  <c r="M65" i="3"/>
  <c r="N65" i="3"/>
  <c r="M53" i="3"/>
  <c r="N53" i="3"/>
  <c r="M41" i="3"/>
  <c r="N41" i="3"/>
  <c r="M29" i="3"/>
  <c r="N29" i="3"/>
  <c r="M17" i="3"/>
  <c r="N17" i="3"/>
  <c r="M5" i="3"/>
  <c r="N5" i="3"/>
  <c r="Q122" i="3"/>
  <c r="P122" i="3"/>
  <c r="Q110" i="3"/>
  <c r="P110" i="3"/>
  <c r="Q98" i="3"/>
  <c r="P98" i="3"/>
  <c r="Q86" i="3"/>
  <c r="P86" i="3"/>
  <c r="Q74" i="3"/>
  <c r="P74" i="3"/>
  <c r="Q62" i="3"/>
  <c r="P62" i="3"/>
  <c r="Q50" i="3"/>
  <c r="P50" i="3"/>
  <c r="Q38" i="3"/>
  <c r="P38" i="3"/>
  <c r="Q26" i="3"/>
  <c r="P26" i="3"/>
  <c r="Q14" i="3"/>
  <c r="P14" i="3"/>
  <c r="H97" i="3"/>
  <c r="G97" i="3"/>
  <c r="H73" i="3"/>
  <c r="G73" i="3"/>
  <c r="G120" i="3"/>
  <c r="H120" i="3"/>
  <c r="H119" i="3"/>
  <c r="G119" i="3"/>
  <c r="G130" i="3"/>
  <c r="H130" i="3"/>
  <c r="H118" i="3"/>
  <c r="G118" i="3"/>
  <c r="H106" i="3"/>
  <c r="G106" i="3"/>
  <c r="G94" i="3"/>
  <c r="H94" i="3"/>
  <c r="G82" i="3"/>
  <c r="H82" i="3"/>
  <c r="H70" i="3"/>
  <c r="G70" i="3"/>
  <c r="H58" i="3"/>
  <c r="G58" i="3"/>
  <c r="H46" i="3"/>
  <c r="G46" i="3"/>
  <c r="H34" i="3"/>
  <c r="G34" i="3"/>
  <c r="G22" i="3"/>
  <c r="H22" i="3"/>
  <c r="G10" i="3"/>
  <c r="H10" i="3"/>
  <c r="K127" i="3"/>
  <c r="J127" i="3"/>
  <c r="K115" i="3"/>
  <c r="J115" i="3"/>
  <c r="J103" i="3"/>
  <c r="K103" i="3"/>
  <c r="K91" i="3"/>
  <c r="J91" i="3"/>
  <c r="K79" i="3"/>
  <c r="J79" i="3"/>
  <c r="J67" i="3"/>
  <c r="K67" i="3"/>
  <c r="K55" i="3"/>
  <c r="J55" i="3"/>
  <c r="K43" i="3"/>
  <c r="J43" i="3"/>
  <c r="J31" i="3"/>
  <c r="K31" i="3"/>
  <c r="K19" i="3"/>
  <c r="J19" i="3"/>
  <c r="J7" i="3"/>
  <c r="K7" i="3"/>
  <c r="M124" i="3"/>
  <c r="N124" i="3"/>
  <c r="M112" i="3"/>
  <c r="N112" i="3"/>
  <c r="M100" i="3"/>
  <c r="N100" i="3"/>
  <c r="M88" i="3"/>
  <c r="N88" i="3"/>
  <c r="M76" i="3"/>
  <c r="N76" i="3"/>
  <c r="M64" i="3"/>
  <c r="N64" i="3"/>
  <c r="M52" i="3"/>
  <c r="N52" i="3"/>
  <c r="M40" i="3"/>
  <c r="N40" i="3"/>
  <c r="M28" i="3"/>
  <c r="N28" i="3"/>
  <c r="M16" i="3"/>
  <c r="N16" i="3"/>
  <c r="P4" i="3"/>
  <c r="Q4" i="3"/>
  <c r="Q121" i="3"/>
  <c r="P121" i="3"/>
  <c r="P109" i="3"/>
  <c r="Q109" i="3"/>
  <c r="Q97" i="3"/>
  <c r="P97" i="3"/>
  <c r="Q85" i="3"/>
  <c r="P85" i="3"/>
  <c r="Q73" i="3"/>
  <c r="P73" i="3"/>
  <c r="P61" i="3"/>
  <c r="Q61" i="3"/>
  <c r="Q49" i="3"/>
  <c r="P49" i="3"/>
  <c r="P37" i="3"/>
  <c r="Q37" i="3"/>
  <c r="Q25" i="3"/>
  <c r="P25" i="3"/>
  <c r="P13" i="3"/>
  <c r="Q13" i="3"/>
  <c r="H90" i="3"/>
  <c r="G90" i="3"/>
  <c r="G131" i="3"/>
  <c r="H131" i="3"/>
  <c r="H107" i="3"/>
  <c r="G107" i="3"/>
  <c r="G95" i="3"/>
  <c r="H95" i="3"/>
  <c r="G83" i="3"/>
  <c r="H83" i="3"/>
  <c r="H129" i="3"/>
  <c r="G129" i="3"/>
  <c r="H117" i="3"/>
  <c r="G117" i="3"/>
  <c r="H105" i="3"/>
  <c r="G105" i="3"/>
  <c r="H93" i="3"/>
  <c r="G93" i="3"/>
  <c r="H81" i="3"/>
  <c r="G81" i="3"/>
  <c r="H69" i="3"/>
  <c r="G69" i="3"/>
  <c r="H57" i="3"/>
  <c r="G57" i="3"/>
  <c r="H45" i="3"/>
  <c r="G45" i="3"/>
  <c r="H33" i="3"/>
  <c r="G33" i="3"/>
  <c r="H21" i="3"/>
  <c r="G21" i="3"/>
  <c r="H9" i="3"/>
  <c r="G9" i="3"/>
  <c r="K126" i="3"/>
  <c r="J126" i="3"/>
  <c r="K114" i="3"/>
  <c r="J114" i="3"/>
  <c r="K102" i="3"/>
  <c r="J102" i="3"/>
  <c r="J90" i="3"/>
  <c r="K90" i="3"/>
  <c r="K78" i="3"/>
  <c r="J78" i="3"/>
  <c r="J66" i="3"/>
  <c r="K66" i="3"/>
  <c r="J54" i="3"/>
  <c r="K54" i="3"/>
  <c r="K42" i="3"/>
  <c r="J42" i="3"/>
  <c r="J30" i="3"/>
  <c r="K30" i="3"/>
  <c r="J18" i="3"/>
  <c r="K18" i="3"/>
  <c r="J6" i="3"/>
  <c r="K6" i="3"/>
  <c r="M123" i="3"/>
  <c r="N123" i="3"/>
  <c r="M111" i="3"/>
  <c r="N111" i="3"/>
  <c r="M99" i="3"/>
  <c r="N99" i="3"/>
  <c r="M87" i="3"/>
  <c r="N87" i="3"/>
  <c r="M75" i="3"/>
  <c r="N75" i="3"/>
  <c r="M63" i="3"/>
  <c r="N63" i="3"/>
  <c r="M51" i="3"/>
  <c r="N51" i="3"/>
  <c r="M39" i="3"/>
  <c r="N39" i="3"/>
  <c r="M27" i="3"/>
  <c r="N27" i="3"/>
  <c r="M15" i="3"/>
  <c r="N15" i="3"/>
  <c r="P132" i="3"/>
  <c r="Q132" i="3"/>
  <c r="Q120" i="3"/>
  <c r="P120" i="3"/>
  <c r="P108" i="3"/>
  <c r="Q108" i="3"/>
  <c r="Q96" i="3"/>
  <c r="P96" i="3"/>
  <c r="Q84" i="3"/>
  <c r="P84" i="3"/>
  <c r="Q72" i="3"/>
  <c r="P72" i="3"/>
  <c r="P60" i="3"/>
  <c r="Q60" i="3"/>
  <c r="Q48" i="3"/>
  <c r="P48" i="3"/>
  <c r="P36" i="3"/>
  <c r="Q36" i="3"/>
  <c r="Q24" i="3"/>
  <c r="P24" i="3"/>
  <c r="P12" i="3"/>
  <c r="Q12" i="3"/>
  <c r="G56" i="3"/>
  <c r="H56" i="3"/>
  <c r="G32" i="3"/>
  <c r="H32" i="3"/>
  <c r="H20" i="3"/>
  <c r="G20" i="3"/>
  <c r="H8" i="3"/>
  <c r="G8" i="3"/>
  <c r="J125" i="3"/>
  <c r="K125" i="3"/>
  <c r="J113" i="3"/>
  <c r="K113" i="3"/>
  <c r="K101" i="3"/>
  <c r="J101" i="3"/>
  <c r="J89" i="3"/>
  <c r="K89" i="3"/>
  <c r="K77" i="3"/>
  <c r="J77" i="3"/>
  <c r="J65" i="3"/>
  <c r="K65" i="3"/>
  <c r="J53" i="3"/>
  <c r="K53" i="3"/>
  <c r="K41" i="3"/>
  <c r="J41" i="3"/>
  <c r="J29" i="3"/>
  <c r="K29" i="3"/>
  <c r="K17" i="3"/>
  <c r="J17" i="3"/>
  <c r="K5" i="3"/>
  <c r="J5" i="3"/>
  <c r="M122" i="3"/>
  <c r="N122" i="3"/>
  <c r="M110" i="3"/>
  <c r="N110" i="3"/>
  <c r="M98" i="3"/>
  <c r="N98" i="3"/>
  <c r="M86" i="3"/>
  <c r="N86" i="3"/>
  <c r="M74" i="3"/>
  <c r="N74" i="3"/>
  <c r="M62" i="3"/>
  <c r="N62" i="3"/>
  <c r="M50" i="3"/>
  <c r="N50" i="3"/>
  <c r="M38" i="3"/>
  <c r="N38" i="3"/>
  <c r="M26" i="3"/>
  <c r="N26" i="3"/>
  <c r="M14" i="3"/>
  <c r="N14" i="3"/>
  <c r="P131" i="3"/>
  <c r="Q131" i="3"/>
  <c r="Q119" i="3"/>
  <c r="P119" i="3"/>
  <c r="P107" i="3"/>
  <c r="Q107" i="3"/>
  <c r="Q95" i="3"/>
  <c r="P95" i="3"/>
  <c r="Q83" i="3"/>
  <c r="P83" i="3"/>
  <c r="Q71" i="3"/>
  <c r="P71" i="3"/>
  <c r="P59" i="3"/>
  <c r="Q59" i="3"/>
  <c r="Q47" i="3"/>
  <c r="P47" i="3"/>
  <c r="P35" i="3"/>
  <c r="Q35" i="3"/>
  <c r="Q23" i="3"/>
  <c r="P23" i="3"/>
  <c r="P11" i="3"/>
  <c r="Q11" i="3"/>
  <c r="H80" i="3"/>
  <c r="G80" i="3"/>
  <c r="G68" i="3"/>
  <c r="H68" i="3"/>
  <c r="H44" i="3"/>
  <c r="G44" i="3"/>
  <c r="G127" i="3"/>
  <c r="H127" i="3"/>
  <c r="G115" i="3"/>
  <c r="H115" i="3"/>
  <c r="G103" i="3"/>
  <c r="H103" i="3"/>
  <c r="H91" i="3"/>
  <c r="G91" i="3"/>
  <c r="H79" i="3"/>
  <c r="G79" i="3"/>
  <c r="G67" i="3"/>
  <c r="H67" i="3"/>
  <c r="H55" i="3"/>
  <c r="G55" i="3"/>
  <c r="H43" i="3"/>
  <c r="G43" i="3"/>
  <c r="G31" i="3"/>
  <c r="H31" i="3"/>
  <c r="G19" i="3"/>
  <c r="H19" i="3"/>
  <c r="H7" i="3"/>
  <c r="G7" i="3"/>
  <c r="J124" i="3"/>
  <c r="K124" i="3"/>
  <c r="J112" i="3"/>
  <c r="K112" i="3"/>
  <c r="J100" i="3"/>
  <c r="K100" i="3"/>
  <c r="J88" i="3"/>
  <c r="K88" i="3"/>
  <c r="J76" i="3"/>
  <c r="K76" i="3"/>
  <c r="J64" i="3"/>
  <c r="K64" i="3"/>
  <c r="J52" i="3"/>
  <c r="K52" i="3"/>
  <c r="J40" i="3"/>
  <c r="K40" i="3"/>
  <c r="J28" i="3"/>
  <c r="K28" i="3"/>
  <c r="J16" i="3"/>
  <c r="K16" i="3"/>
  <c r="N4" i="3"/>
  <c r="M4" i="3"/>
  <c r="N121" i="3"/>
  <c r="M121" i="3"/>
  <c r="N109" i="3"/>
  <c r="M109" i="3"/>
  <c r="N97" i="3"/>
  <c r="M97" i="3"/>
  <c r="N85" i="3"/>
  <c r="M85" i="3"/>
  <c r="N73" i="3"/>
  <c r="M73" i="3"/>
  <c r="N61" i="3"/>
  <c r="M61" i="3"/>
  <c r="N49" i="3"/>
  <c r="M49" i="3"/>
  <c r="N37" i="3"/>
  <c r="M37" i="3"/>
  <c r="N25" i="3"/>
  <c r="M25" i="3"/>
  <c r="N13" i="3"/>
  <c r="M13" i="3"/>
  <c r="P130" i="3"/>
  <c r="Q130" i="3"/>
  <c r="P118" i="3"/>
  <c r="Q118" i="3"/>
  <c r="P106" i="3"/>
  <c r="Q106" i="3"/>
  <c r="P94" i="3"/>
  <c r="Q94" i="3"/>
  <c r="P82" i="3"/>
  <c r="Q82" i="3"/>
  <c r="P70" i="3"/>
  <c r="Q70" i="3"/>
  <c r="P58" i="3"/>
  <c r="Q58" i="3"/>
  <c r="P46" i="3"/>
  <c r="Q46" i="3"/>
  <c r="P34" i="3"/>
  <c r="Q34" i="3"/>
  <c r="P22" i="3"/>
  <c r="Q22" i="3"/>
  <c r="P10" i="3"/>
  <c r="Q10" i="3"/>
  <c r="G128" i="3"/>
  <c r="H128" i="3"/>
  <c r="G78" i="3"/>
  <c r="H78" i="3"/>
  <c r="H66" i="3"/>
  <c r="G66" i="3"/>
  <c r="H54" i="3"/>
  <c r="G54" i="3"/>
  <c r="G42" i="3"/>
  <c r="H42" i="3"/>
  <c r="H30" i="3"/>
  <c r="G30" i="3"/>
  <c r="H18" i="3"/>
  <c r="G18" i="3"/>
  <c r="H6" i="3"/>
  <c r="G6" i="3"/>
  <c r="J123" i="3"/>
  <c r="K123" i="3"/>
  <c r="J111" i="3"/>
  <c r="K111" i="3"/>
  <c r="J99" i="3"/>
  <c r="K99" i="3"/>
  <c r="J87" i="3"/>
  <c r="K87" i="3"/>
  <c r="J75" i="3"/>
  <c r="K75" i="3"/>
  <c r="J63" i="3"/>
  <c r="K63" i="3"/>
  <c r="J51" i="3"/>
  <c r="K51" i="3"/>
  <c r="J39" i="3"/>
  <c r="K39" i="3"/>
  <c r="J27" i="3"/>
  <c r="K27" i="3"/>
  <c r="J15" i="3"/>
  <c r="K15" i="3"/>
  <c r="N132" i="3"/>
  <c r="M132" i="3"/>
  <c r="N120" i="3"/>
  <c r="M120" i="3"/>
  <c r="N108" i="3"/>
  <c r="M108" i="3"/>
  <c r="N96" i="3"/>
  <c r="M96" i="3"/>
  <c r="N84" i="3"/>
  <c r="M84" i="3"/>
  <c r="N72" i="3"/>
  <c r="M72" i="3"/>
  <c r="N60" i="3"/>
  <c r="M60" i="3"/>
  <c r="N48" i="3"/>
  <c r="M48" i="3"/>
  <c r="N36" i="3"/>
  <c r="M36" i="3"/>
  <c r="N24" i="3"/>
  <c r="M24" i="3"/>
  <c r="N12" i="3"/>
  <c r="M12" i="3"/>
  <c r="P129" i="3"/>
  <c r="Q129" i="3"/>
  <c r="P117" i="3"/>
  <c r="Q117" i="3"/>
  <c r="P105" i="3"/>
  <c r="Q105" i="3"/>
  <c r="P93" i="3"/>
  <c r="Q93" i="3"/>
  <c r="P81" i="3"/>
  <c r="Q81" i="3"/>
  <c r="P69" i="3"/>
  <c r="Q69" i="3"/>
  <c r="P57" i="3"/>
  <c r="Q57" i="3"/>
  <c r="P45" i="3"/>
  <c r="Q45" i="3"/>
  <c r="P33" i="3"/>
  <c r="Q33" i="3"/>
  <c r="P21" i="3"/>
  <c r="Q21" i="3"/>
  <c r="P9" i="3"/>
  <c r="Q9" i="3"/>
  <c r="G89" i="3"/>
  <c r="H89" i="3"/>
  <c r="H77" i="3"/>
  <c r="G77" i="3"/>
  <c r="G65" i="3"/>
  <c r="H65" i="3"/>
  <c r="G53" i="3"/>
  <c r="H53" i="3"/>
  <c r="H41" i="3"/>
  <c r="G41" i="3"/>
  <c r="H29" i="3"/>
  <c r="G29" i="3"/>
  <c r="G17" i="3"/>
  <c r="H17" i="3"/>
  <c r="H5" i="3"/>
  <c r="G5" i="3"/>
  <c r="J122" i="3"/>
  <c r="K122" i="3"/>
  <c r="J110" i="3"/>
  <c r="K110" i="3"/>
  <c r="J98" i="3"/>
  <c r="K98" i="3"/>
  <c r="J86" i="3"/>
  <c r="K86" i="3"/>
  <c r="J74" i="3"/>
  <c r="K74" i="3"/>
  <c r="J62" i="3"/>
  <c r="K62" i="3"/>
  <c r="J50" i="3"/>
  <c r="K50" i="3"/>
  <c r="J38" i="3"/>
  <c r="K38" i="3"/>
  <c r="J26" i="3"/>
  <c r="K26" i="3"/>
  <c r="J14" i="3"/>
  <c r="K14" i="3"/>
  <c r="N131" i="3"/>
  <c r="M131" i="3"/>
  <c r="N119" i="3"/>
  <c r="M119" i="3"/>
  <c r="N107" i="3"/>
  <c r="M107" i="3"/>
  <c r="N95" i="3"/>
  <c r="M95" i="3"/>
  <c r="N83" i="3"/>
  <c r="M83" i="3"/>
  <c r="N71" i="3"/>
  <c r="M71" i="3"/>
  <c r="N59" i="3"/>
  <c r="M59" i="3"/>
  <c r="N47" i="3"/>
  <c r="M47" i="3"/>
  <c r="N35" i="3"/>
  <c r="M35" i="3"/>
  <c r="N23" i="3"/>
  <c r="M23" i="3"/>
  <c r="N11" i="3"/>
  <c r="M11" i="3"/>
  <c r="P128" i="3"/>
  <c r="Q128" i="3"/>
  <c r="P116" i="3"/>
  <c r="Q116" i="3"/>
  <c r="P104" i="3"/>
  <c r="Q104" i="3"/>
  <c r="P92" i="3"/>
  <c r="Q92" i="3"/>
  <c r="P80" i="3"/>
  <c r="Q80" i="3"/>
  <c r="P68" i="3"/>
  <c r="Q68" i="3"/>
  <c r="P56" i="3"/>
  <c r="Q56" i="3"/>
  <c r="P44" i="3"/>
  <c r="Q44" i="3"/>
  <c r="P32" i="3"/>
  <c r="Q32" i="3"/>
  <c r="P20" i="3"/>
  <c r="Q20" i="3"/>
  <c r="P8" i="3"/>
  <c r="Q8" i="3"/>
  <c r="G114" i="3"/>
  <c r="H114" i="3"/>
  <c r="H112" i="3"/>
  <c r="G112" i="3"/>
  <c r="H100" i="3"/>
  <c r="G100" i="3"/>
  <c r="G88" i="3"/>
  <c r="H88" i="3"/>
  <c r="G76" i="3"/>
  <c r="H76" i="3"/>
  <c r="G64" i="3"/>
  <c r="H64" i="3"/>
  <c r="G52" i="3"/>
  <c r="H52" i="3"/>
  <c r="H40" i="3"/>
  <c r="G40" i="3"/>
  <c r="H28" i="3"/>
  <c r="G28" i="3"/>
  <c r="G16" i="3"/>
  <c r="H16" i="3"/>
  <c r="K4" i="3"/>
  <c r="J4" i="3"/>
  <c r="K121" i="3"/>
  <c r="J121" i="3"/>
  <c r="K109" i="3"/>
  <c r="J109" i="3"/>
  <c r="K97" i="3"/>
  <c r="J97" i="3"/>
  <c r="K85" i="3"/>
  <c r="J85" i="3"/>
  <c r="K73" i="3"/>
  <c r="J73" i="3"/>
  <c r="K61" i="3"/>
  <c r="J61" i="3"/>
  <c r="K49" i="3"/>
  <c r="J49" i="3"/>
  <c r="K37" i="3"/>
  <c r="J37" i="3"/>
  <c r="K25" i="3"/>
  <c r="J25" i="3"/>
  <c r="K13" i="3"/>
  <c r="J13" i="3"/>
  <c r="N130" i="3"/>
  <c r="M130" i="3"/>
  <c r="N118" i="3"/>
  <c r="M118" i="3"/>
  <c r="N106" i="3"/>
  <c r="M106" i="3"/>
  <c r="N94" i="3"/>
  <c r="M94" i="3"/>
  <c r="N82" i="3"/>
  <c r="M82" i="3"/>
  <c r="N70" i="3"/>
  <c r="M70" i="3"/>
  <c r="N58" i="3"/>
  <c r="M58" i="3"/>
  <c r="N46" i="3"/>
  <c r="M46" i="3"/>
  <c r="N34" i="3"/>
  <c r="M34" i="3"/>
  <c r="N22" i="3"/>
  <c r="M22" i="3"/>
  <c r="N10" i="3"/>
  <c r="M10" i="3"/>
  <c r="P127" i="3"/>
  <c r="Q127" i="3"/>
  <c r="P115" i="3"/>
  <c r="Q115" i="3"/>
  <c r="P103" i="3"/>
  <c r="Q103" i="3"/>
  <c r="P91" i="3"/>
  <c r="Q91" i="3"/>
  <c r="P79" i="3"/>
  <c r="Q79" i="3"/>
  <c r="P67" i="3"/>
  <c r="Q67" i="3"/>
  <c r="P55" i="3"/>
  <c r="Q55" i="3"/>
  <c r="P43" i="3"/>
  <c r="Q43" i="3"/>
  <c r="P31" i="3"/>
  <c r="Q31" i="3"/>
  <c r="P19" i="3"/>
  <c r="Q19" i="3"/>
  <c r="P7" i="3"/>
  <c r="Q7" i="3"/>
  <c r="G116" i="3"/>
  <c r="H116" i="3"/>
  <c r="H92" i="3"/>
  <c r="G92" i="3"/>
  <c r="H126" i="3"/>
  <c r="G126" i="3"/>
  <c r="G124" i="3"/>
  <c r="H124" i="3"/>
  <c r="H111" i="3"/>
  <c r="G111" i="3"/>
  <c r="H99" i="3"/>
  <c r="G99" i="3"/>
  <c r="H87" i="3"/>
  <c r="G87" i="3"/>
  <c r="G63" i="3"/>
  <c r="H63" i="3"/>
  <c r="G51" i="3"/>
  <c r="H51" i="3"/>
  <c r="H39" i="3"/>
  <c r="G39" i="3"/>
  <c r="H27" i="3"/>
  <c r="G27" i="3"/>
  <c r="G15" i="3"/>
  <c r="H15" i="3"/>
  <c r="K132" i="3"/>
  <c r="J132" i="3"/>
  <c r="K120" i="3"/>
  <c r="J120" i="3"/>
  <c r="K108" i="3"/>
  <c r="J108" i="3"/>
  <c r="K96" i="3"/>
  <c r="J96" i="3"/>
  <c r="K84" i="3"/>
  <c r="J84" i="3"/>
  <c r="K72" i="3"/>
  <c r="J72" i="3"/>
  <c r="K60" i="3"/>
  <c r="J60" i="3"/>
  <c r="K48" i="3"/>
  <c r="J48" i="3"/>
  <c r="K36" i="3"/>
  <c r="J36" i="3"/>
  <c r="K24" i="3"/>
  <c r="J24" i="3"/>
  <c r="K12" i="3"/>
  <c r="J12" i="3"/>
  <c r="N129" i="3"/>
  <c r="M129" i="3"/>
  <c r="N117" i="3"/>
  <c r="M117" i="3"/>
  <c r="M105" i="3"/>
  <c r="N105" i="3"/>
  <c r="N93" i="3"/>
  <c r="M93" i="3"/>
  <c r="N81" i="3"/>
  <c r="M81" i="3"/>
  <c r="N69" i="3"/>
  <c r="M69" i="3"/>
  <c r="N57" i="3"/>
  <c r="M57" i="3"/>
  <c r="N45" i="3"/>
  <c r="M45" i="3"/>
  <c r="N33" i="3"/>
  <c r="M33" i="3"/>
  <c r="N21" i="3"/>
  <c r="M21" i="3"/>
  <c r="N9" i="3"/>
  <c r="M9" i="3"/>
  <c r="P126" i="3"/>
  <c r="Q126" i="3"/>
  <c r="P114" i="3"/>
  <c r="Q114" i="3"/>
  <c r="P102" i="3"/>
  <c r="Q102" i="3"/>
  <c r="P90" i="3"/>
  <c r="Q90" i="3"/>
  <c r="P78" i="3"/>
  <c r="Q78" i="3"/>
  <c r="P66" i="3"/>
  <c r="Q66" i="3"/>
  <c r="P54" i="3"/>
  <c r="Q54" i="3"/>
  <c r="P42" i="3"/>
  <c r="Q42" i="3"/>
  <c r="P30" i="3"/>
  <c r="Q30" i="3"/>
  <c r="P18" i="3"/>
  <c r="Q18" i="3"/>
  <c r="P6" i="3"/>
  <c r="Q6" i="3"/>
  <c r="H125" i="3"/>
  <c r="G125" i="3"/>
  <c r="H123" i="3"/>
  <c r="G123" i="3"/>
  <c r="G75" i="3"/>
  <c r="H75" i="3"/>
  <c r="H122" i="3"/>
  <c r="G122" i="3"/>
  <c r="G110" i="3"/>
  <c r="H110" i="3"/>
  <c r="G98" i="3"/>
  <c r="H98" i="3"/>
  <c r="H86" i="3"/>
  <c r="G86" i="3"/>
  <c r="H74" i="3"/>
  <c r="G74" i="3"/>
  <c r="G62" i="3"/>
  <c r="H62" i="3"/>
  <c r="G50" i="3"/>
  <c r="H50" i="3"/>
  <c r="G38" i="3"/>
  <c r="H38" i="3"/>
  <c r="H26" i="3"/>
  <c r="G26" i="3"/>
  <c r="H14" i="3"/>
  <c r="G14" i="3"/>
  <c r="K131" i="3"/>
  <c r="J131" i="3"/>
  <c r="J119" i="3"/>
  <c r="K119" i="3"/>
  <c r="J107" i="3"/>
  <c r="K107" i="3"/>
  <c r="J95" i="3"/>
  <c r="K95" i="3"/>
  <c r="J83" i="3"/>
  <c r="K83" i="3"/>
  <c r="J71" i="3"/>
  <c r="K71" i="3"/>
  <c r="J59" i="3"/>
  <c r="K59" i="3"/>
  <c r="J47" i="3"/>
  <c r="K47" i="3"/>
  <c r="J35" i="3"/>
  <c r="K35" i="3"/>
  <c r="J23" i="3"/>
  <c r="K23" i="3"/>
  <c r="J11" i="3"/>
  <c r="K11" i="3"/>
  <c r="N128" i="3"/>
  <c r="M128" i="3"/>
  <c r="N116" i="3"/>
  <c r="M116" i="3"/>
  <c r="N104" i="3"/>
  <c r="M104" i="3"/>
  <c r="N92" i="3"/>
  <c r="M92" i="3"/>
  <c r="M80" i="3"/>
  <c r="N80" i="3"/>
  <c r="N68" i="3"/>
  <c r="M68" i="3"/>
  <c r="N56" i="3"/>
  <c r="M56" i="3"/>
  <c r="N44" i="3"/>
  <c r="M44" i="3"/>
  <c r="N32" i="3"/>
  <c r="M32" i="3"/>
  <c r="N20" i="3"/>
  <c r="M20" i="3"/>
  <c r="N8" i="3"/>
  <c r="M8" i="3"/>
  <c r="P125" i="3"/>
  <c r="Q125" i="3"/>
  <c r="P113" i="3"/>
  <c r="Q113" i="3"/>
  <c r="P101" i="3"/>
  <c r="Q101" i="3"/>
  <c r="P89" i="3"/>
  <c r="Q89" i="3"/>
  <c r="P77" i="3"/>
  <c r="Q77" i="3"/>
  <c r="P65" i="3"/>
  <c r="Q65" i="3"/>
  <c r="P53" i="3"/>
  <c r="Q53" i="3"/>
  <c r="P41" i="3"/>
  <c r="Q41" i="3"/>
  <c r="P29" i="3"/>
  <c r="Q29" i="3"/>
  <c r="P17" i="3"/>
  <c r="Q17" i="3"/>
  <c r="P5" i="3"/>
  <c r="Q5" i="3"/>
  <c r="H4" i="3" l="1"/>
  <c r="G4" i="3"/>
</calcChain>
</file>

<file path=xl/sharedStrings.xml><?xml version="1.0" encoding="utf-8"?>
<sst xmlns="http://schemas.openxmlformats.org/spreadsheetml/2006/main" count="328" uniqueCount="198">
  <si>
    <t>low level</t>
  </si>
  <si>
    <t>high level</t>
  </si>
  <si>
    <t>decimals</t>
  </si>
  <si>
    <t>factor name</t>
  </si>
  <si>
    <t>Shift of demand of inbound non-agri products (from LB to Cherbourg route)</t>
  </si>
  <si>
    <t>Shift of demand of outbound non-agri products (from LB to Cherbourg route)</t>
  </si>
  <si>
    <t>Shift of demand of inbound agri products (from LB to Cherbourg route)</t>
  </si>
  <si>
    <t>Shift of demand of outbound agri products (from LB to Cherbourg route)</t>
  </si>
  <si>
    <t>Check timings for documentry and seal identity</t>
  </si>
  <si>
    <t>Check timings for physical</t>
  </si>
  <si>
    <t xml:space="preserve">Pecentage of non-agri outbound green route trucks </t>
  </si>
  <si>
    <t xml:space="preserve">Pecentage of non-agri outbound red route trucks </t>
  </si>
  <si>
    <t xml:space="preserve">Pecentage of agri outbound red route trucks </t>
  </si>
  <si>
    <t xml:space="preserve">Pecentage of non-agri inbound green route trucks </t>
  </si>
  <si>
    <t xml:space="preserve">Pecentage of non-agri inbound red route trucks </t>
  </si>
  <si>
    <t xml:space="preserve">Pecentage of agri inbound red route trucks </t>
  </si>
  <si>
    <t>Percentage of inbound trucks stop due to pre-bording status</t>
  </si>
  <si>
    <t>Percentage of outbound trucks stop due to pre-bording status</t>
  </si>
  <si>
    <t>Number of Custom shed</t>
  </si>
  <si>
    <t>Number of DAFM Bays</t>
  </si>
  <si>
    <t>Vessel capacity from Dublin</t>
  </si>
  <si>
    <t>Vessel capacity from Rosslare</t>
  </si>
  <si>
    <t>ProductVol between IR_UK</t>
  </si>
  <si>
    <t>ProductVol between IR_EU (via LB)</t>
  </si>
  <si>
    <t>ProductVol between IR_EU (via DR_Cherbourge)</t>
  </si>
  <si>
    <t>NA_Ex</t>
  </si>
  <si>
    <t>NA_Im</t>
  </si>
  <si>
    <t>A_Im</t>
  </si>
  <si>
    <t>A_Ex</t>
  </si>
  <si>
    <t>Number of Custom shed Dublin</t>
  </si>
  <si>
    <t>Number of DAFM Bays Dublin</t>
  </si>
  <si>
    <t>Number of Custom shed Rosslare</t>
  </si>
  <si>
    <t>Number of DAFM Bays Rosslare</t>
  </si>
  <si>
    <t>Vessel capacity from Dublin to Hey</t>
  </si>
  <si>
    <t>Vessel capacity from Dublin to Holy</t>
  </si>
  <si>
    <t>Vessel capacity from Dublin to Liv</t>
  </si>
  <si>
    <t>Vessel capacity from Rosslare to Fish</t>
  </si>
  <si>
    <t>Vessel capacity from Rosslare to Pem</t>
  </si>
  <si>
    <t>NA_Im_LB</t>
  </si>
  <si>
    <t>NA_Im_DR</t>
  </si>
  <si>
    <t>Shift _Vol</t>
  </si>
  <si>
    <t>NA_Ex_LB</t>
  </si>
  <si>
    <t>NA_Ex_DR</t>
  </si>
  <si>
    <t>A_Im_LB</t>
  </si>
  <si>
    <t>A_Im_DR</t>
  </si>
  <si>
    <t>A_Ex_LB</t>
  </si>
  <si>
    <t>A_Ex_DR</t>
  </si>
  <si>
    <t>TT_OB_Agri</t>
  </si>
  <si>
    <t>TT_IB_Agri</t>
  </si>
  <si>
    <t>WT_IB_NA_Dub</t>
  </si>
  <si>
    <t>WT_IB_A_Dub</t>
  </si>
  <si>
    <t>WT_IB_NA_Ross</t>
  </si>
  <si>
    <t>WT_IB_A_Ross</t>
  </si>
  <si>
    <t>TT_OB_LB</t>
  </si>
  <si>
    <t>TT_IB_LB</t>
  </si>
  <si>
    <t>TT_OB_DR</t>
  </si>
  <si>
    <t>TT_IB_DR</t>
  </si>
  <si>
    <t>WT_OB_A_GB-Dub</t>
  </si>
  <si>
    <t>WT_OB_NA_GB-Dub</t>
  </si>
  <si>
    <t>WT_OB_A_GB-Ross</t>
  </si>
  <si>
    <t>WT_OB_NA_GB-Ross</t>
  </si>
  <si>
    <t>WT_IB_LB</t>
  </si>
  <si>
    <t>WT_OB_LB</t>
  </si>
  <si>
    <t>Uti_Cus_D</t>
  </si>
  <si>
    <t>Uti_DAFM_D</t>
  </si>
  <si>
    <t>Uti_Cus_R</t>
  </si>
  <si>
    <t>Uti_DAFM_R</t>
  </si>
  <si>
    <t>List of Output indicator</t>
  </si>
  <si>
    <t>S.No.</t>
  </si>
  <si>
    <t>Name of Indicator</t>
  </si>
  <si>
    <t>Discription of Indicator</t>
  </si>
  <si>
    <t>Amr Comments</t>
  </si>
  <si>
    <t>TT_OB_NA</t>
  </si>
  <si>
    <t>Transportation time of outbound non-agri trucks going from IRL to GB</t>
  </si>
  <si>
    <t>TT_IB_NA</t>
  </si>
  <si>
    <t>Transportation time of inbound non-agri trucks going from GB to IRL</t>
  </si>
  <si>
    <t>TT_OB_A</t>
  </si>
  <si>
    <t>Transportation time of outbound agri trucks going from IRL to GB</t>
  </si>
  <si>
    <t>TT_IB_A</t>
  </si>
  <si>
    <t>Transportation time of inbound agri trucks going from GB to IRL</t>
  </si>
  <si>
    <t>Transportation time of outbound All trucks going from IRL to EU (via landbridge)</t>
  </si>
  <si>
    <t>Transportation time of inbound All trucks going from EU to IRL (via landbridge)</t>
  </si>
  <si>
    <t>Transportation time of outbound All trucks going from IRL to EU (Direct via France)</t>
  </si>
  <si>
    <t>Transportation time of inbound All trucks going from EU to IRL (Direct via France)</t>
  </si>
  <si>
    <t>NA_IB_WT</t>
  </si>
  <si>
    <t>Waiting time/Queue Length of inbound non-agri trucks at Dubli/Rosslare port</t>
  </si>
  <si>
    <t>A_IB_WT</t>
  </si>
  <si>
    <t>Waiting time/Queue Length of inbound agri trucks at Dublin/Rosslare port</t>
  </si>
  <si>
    <t>Waiting time/Queue Length of inbound non-agri trucks at UK West port/Dover (5 Ports)</t>
  </si>
  <si>
    <t>Waiting time/Queue Length of inbound agri trucks at UK West port/Dover (5 Ports)</t>
  </si>
  <si>
    <t>Waiting time/Queue Length of inbound Transit trucks at France port (Calais for the landbridge)</t>
  </si>
  <si>
    <t>Uti_Cus</t>
  </si>
  <si>
    <t>Utilisation of custom shed at Dublin/Rosslare Port (2 ports)</t>
  </si>
  <si>
    <t>Uti_DAFM</t>
  </si>
  <si>
    <t>Utilisation of DAFM Bays at Dublin/Rosslare Port (2 ports)</t>
  </si>
  <si>
    <t>IRE - UK</t>
  </si>
  <si>
    <t>The focus on Agri-food in particular</t>
  </si>
  <si>
    <t>IRE - EU Landbridge</t>
  </si>
  <si>
    <t>EU - IRE Landbridge</t>
  </si>
  <si>
    <t>UK - IRE</t>
  </si>
  <si>
    <t>IRE - EU Direct</t>
  </si>
  <si>
    <t xml:space="preserve">EU - IRE Direct </t>
  </si>
  <si>
    <t>List of Input Parameters</t>
  </si>
  <si>
    <t>Name of Parameter</t>
  </si>
  <si>
    <t>Discription of parameter</t>
  </si>
  <si>
    <t>Levels</t>
  </si>
  <si>
    <t>Amr Comment</t>
  </si>
  <si>
    <t>Low</t>
  </si>
  <si>
    <t>Mid</t>
  </si>
  <si>
    <t>High</t>
  </si>
  <si>
    <t>Shifts in Trade Volume</t>
  </si>
  <si>
    <t>Demand of inbound non-agri products (from GB to IRL)</t>
  </si>
  <si>
    <t>Reduce 25%</t>
  </si>
  <si>
    <t>Current</t>
  </si>
  <si>
    <t>Increase 25%</t>
  </si>
  <si>
    <r>
      <t xml:space="preserve">Changes in Demand (Imports/ Exports) were caused because on COVID-19 in the first place. With respect to Agri-food, the sector is less likely to witness major shift in demand because of Brexit only. Although there are preparations to replace the UK market with others in EU and beyond for some sectors (Cheese), other sectors still relay heavily on the UK. </t>
    </r>
    <r>
      <rPr>
        <b/>
        <sz val="12"/>
        <color rgb="FFFF0000"/>
        <rFont val="Calibri (Body)"/>
      </rPr>
      <t>(We need to decide here if COVID-19 will considered on the paper or not)</t>
    </r>
    <r>
      <rPr>
        <sz val="12"/>
        <color theme="1"/>
        <rFont val="Calibri"/>
        <family val="2"/>
        <scheme val="minor"/>
      </rPr>
      <t xml:space="preserve"> </t>
    </r>
    <r>
      <rPr>
        <b/>
        <sz val="12"/>
        <color theme="1"/>
        <rFont val="Calibri"/>
        <family val="2"/>
        <scheme val="minor"/>
      </rPr>
      <t>[the Decision is that the article will focus only on Brexit disruption so no need to change these set of parametyers ]</t>
    </r>
  </si>
  <si>
    <t>Demand of outbound non-agri products (from IRL to GB)</t>
  </si>
  <si>
    <t>Demand of inbound agri products (from GB to IRL)</t>
  </si>
  <si>
    <t>Demand of outbound agri products (from IRL to GB)</t>
  </si>
  <si>
    <t>Direct Routes to Mainland Europe</t>
  </si>
  <si>
    <t>Shift 25%</t>
  </si>
  <si>
    <t>Shift 50%</t>
  </si>
  <si>
    <t>This parameter will difinitily be considered. Rosslare must be considered as well since most of Direct Sailing start from Rosslare now</t>
  </si>
  <si>
    <t>Vessel capacity between Dublin and Holyhead route</t>
  </si>
  <si>
    <t>Reduce 50%</t>
  </si>
  <si>
    <t>Reduce 75%</t>
  </si>
  <si>
    <t>Direct shipping capacity should also be considered. New sailing frequency from Rosslare should be added to the model. Updates on their capacity and destination points should be collected. Rosslare-Bilbao (other Spain ports) to be added</t>
  </si>
  <si>
    <t>Vessel capacity between Dublin and Heysham route</t>
  </si>
  <si>
    <t>Vessel capacity between Dublin and Liverpool route</t>
  </si>
  <si>
    <t>Customs Expertise &amp; Resources</t>
  </si>
  <si>
    <t>Important</t>
  </si>
  <si>
    <t xml:space="preserve">To be Considered </t>
  </si>
  <si>
    <t>Border Checks Intervention</t>
  </si>
  <si>
    <t>Low (90%)</t>
  </si>
  <si>
    <t>Current (70%)</t>
  </si>
  <si>
    <t>High (60%)</t>
  </si>
  <si>
    <r>
      <t xml:space="preserve">Our focus in the paper should focus on SPS percenatges of Agri-food (Export and import). </t>
    </r>
    <r>
      <rPr>
        <b/>
        <sz val="12"/>
        <color rgb="FFFF0000"/>
        <rFont val="Calibri (Body)"/>
      </rPr>
      <t>Non-Agri related parameters should be tested againsyt Customs Sheds indicators. Agri parameters should be tested against DAFM sheds indicators</t>
    </r>
  </si>
  <si>
    <t>Low (10%)</t>
  </si>
  <si>
    <t>Current (30%)</t>
  </si>
  <si>
    <t>High (40%)</t>
  </si>
  <si>
    <t>Current (20%)</t>
  </si>
  <si>
    <t>High (30%)</t>
  </si>
  <si>
    <t>NA-IM</t>
  </si>
  <si>
    <t>Code</t>
  </si>
  <si>
    <t>NA-EX</t>
  </si>
  <si>
    <t>A-IMP</t>
  </si>
  <si>
    <t>A-EXP</t>
  </si>
  <si>
    <t>Direct Route to Mainland Europe</t>
  </si>
  <si>
    <t>Borders Checks Intervention</t>
  </si>
  <si>
    <t>Agri Products</t>
  </si>
  <si>
    <t>Outbound</t>
  </si>
  <si>
    <t>Inbound</t>
  </si>
  <si>
    <t>Non-Agri Products</t>
  </si>
  <si>
    <t>Dublin</t>
  </si>
  <si>
    <t>Rosslare</t>
  </si>
  <si>
    <t>Routes</t>
  </si>
  <si>
    <t>Landbridge</t>
  </si>
  <si>
    <t>Direct route</t>
  </si>
  <si>
    <t>Staff Utilisation</t>
  </si>
  <si>
    <t>Rooslare</t>
  </si>
  <si>
    <t>VolAllPImGB</t>
  </si>
  <si>
    <t>VolAllPExGB</t>
  </si>
  <si>
    <t>VolAgriImGB</t>
  </si>
  <si>
    <t>VolAgriExGB</t>
  </si>
  <si>
    <t>VolAllPImEULB</t>
  </si>
  <si>
    <t>VolAllPExEULB</t>
  </si>
  <si>
    <t>VolAgriImEULB</t>
  </si>
  <si>
    <t>VolAgriExEULB</t>
  </si>
  <si>
    <t>VolAllPImViaChe</t>
  </si>
  <si>
    <t>VolAllPExViaChe</t>
  </si>
  <si>
    <t>VolAgriImViaChe</t>
  </si>
  <si>
    <t>VolAgriExViaChe</t>
  </si>
  <si>
    <t>DToHeyVesselCap</t>
  </si>
  <si>
    <t>DToLivVesselCap</t>
  </si>
  <si>
    <t>DToHolyVesselCap</t>
  </si>
  <si>
    <t>RToFishVesselCap</t>
  </si>
  <si>
    <t>RToPemVesselCap</t>
  </si>
  <si>
    <t>NumCustomOfficerD</t>
  </si>
  <si>
    <t>NumDAFMOfficerD</t>
  </si>
  <si>
    <t>NumCustomOfficerR</t>
  </si>
  <si>
    <t>NumDAFMOfficerR</t>
  </si>
  <si>
    <t>DocChkTimeAPImIR
DocChkTimeAgriImIR
DocChkTimeAPImGB-W
DocChkTimeAgriImGB-W
DocCheckTimeImGB-E
DocCheckTimeImEU</t>
  </si>
  <si>
    <t>PhyChkTimeAPImIR
PhyChkTimeAgriImIR
PhyChkTimeAPImGB-W
PhyChkTimeAgriImGB-W
PhyCheckTimeImGB-E
PhyCheckTimeImEU</t>
  </si>
  <si>
    <t>PerGreenTrucksAPImIR</t>
  </si>
  <si>
    <t>PerPhyChkAPImIR</t>
  </si>
  <si>
    <t>PerSecurityChkAPIR</t>
  </si>
  <si>
    <t>PerPhyChkAgriImIR</t>
  </si>
  <si>
    <t>Percentage of inbound non-Agri trucks stop due to pre-bording status</t>
  </si>
  <si>
    <t>Percentage of inbound Agri trucks stop due to pre-bording status</t>
  </si>
  <si>
    <t>PerSecurityChkAgriIR</t>
  </si>
  <si>
    <t>PerGreenTrucksAPImGB-W</t>
  </si>
  <si>
    <t>PerPhyChkAPImGB-W</t>
  </si>
  <si>
    <t>PerSecurityChkAPGB-W</t>
  </si>
  <si>
    <t>PerPhyChkAgriImGB-W</t>
  </si>
  <si>
    <t>PerSecurityChkAgriGB-W</t>
  </si>
  <si>
    <t>DocCheckTimeImGB-E/ PerGreenTrucksImEU</t>
  </si>
  <si>
    <t>PerPhyChkImGB-E/PerPhyChkImEU</t>
  </si>
  <si>
    <t>PerSecurityChkGB-E/PerSecurityChkEU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</si>
</sst>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0"/>
      <name val="Arial"/>
      <family val="2"/>
    </font>
    <font>
      <b/>
      <sz val="12"/>
      <color theme="1"/>
      <name val="Calibri"/>
      <family val="2"/>
      <scheme val="minor"/>
    </font>
    <font>
      <sz val="12"/>
      <color theme="1"/>
      <name val="Calibri"/>
      <family val="2"/>
      <scheme val="minor"/>
    </font>
    <font>
      <b/>
      <sz val="12"/>
      <color rgb="FF000000"/>
      <name val="Calibri"/>
      <family val="2"/>
      <scheme val="minor"/>
    </font>
    <font>
      <sz val="12"/>
      <color rgb="FF000000"/>
      <name val="Calibri"/>
      <family val="2"/>
      <scheme val="minor"/>
    </font>
    <font>
      <b/>
      <sz val="12"/>
      <color rgb="FFFF0000"/>
      <name val="Calibri (Body)"/>
    </font>
    <font>
      <b/>
      <sz val="16"/>
      <color theme="1"/>
      <name val="Calibri"/>
      <family val="2"/>
      <scheme val="minor"/>
    </font>
    <font>
      <b/>
      <sz val="10"/>
      <color rgb="FFC00000"/>
      <name val="Arial"/>
      <family val="2"/>
    </font>
  </fonts>
  <fills count="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7" tint="0.39997558519241921"/>
        <bgColor indexed="64"/>
      </patternFill>
    </fill>
    <fill>
      <patternFill patternType="solid">
        <fgColor rgb="FFFF0000"/>
        <bgColor rgb="FF000000"/>
      </patternFill>
    </fill>
    <fill>
      <patternFill patternType="solid">
        <fgColor rgb="FF00B050"/>
        <bgColor rgb="FF000000"/>
      </patternFill>
    </fill>
    <fill>
      <patternFill patternType="solid">
        <fgColor theme="9" tint="0.39997558519241921"/>
        <bgColor indexed="64"/>
      </patternFill>
    </fill>
    <fill>
      <patternFill patternType="solid">
        <fgColor theme="5"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3" fillId="0" borderId="0"/>
  </cellStyleXfs>
  <cellXfs count="130">
    <xf numFmtId="0" fontId="0" fillId="0" borderId="0" xfId="0"/>
    <xf numFmtId="0" fontId="1" fillId="2" borderId="1" xfId="0" applyFont="1" applyFill="1" applyBorder="1" applyAlignment="1" applyProtection="1">
      <alignment horizontal="right"/>
      <protection locked="0"/>
    </xf>
    <xf numFmtId="0" fontId="1" fillId="0" borderId="0" xfId="0" applyFont="1"/>
    <xf numFmtId="0" fontId="1" fillId="2" borderId="1" xfId="0" applyFont="1" applyFill="1" applyBorder="1" applyAlignment="1" applyProtection="1">
      <alignment horizontal="center" vertical="center" wrapText="1"/>
      <protection locked="0"/>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xf>
    <xf numFmtId="0" fontId="0" fillId="4" borderId="1" xfId="0" applyFill="1" applyBorder="1" applyAlignment="1">
      <alignment horizontal="center" vertical="center"/>
    </xf>
    <xf numFmtId="0" fontId="1" fillId="0" borderId="0" xfId="0" applyFont="1" applyAlignment="1">
      <alignment horizontal="center"/>
    </xf>
    <xf numFmtId="0" fontId="0" fillId="3" borderId="1" xfId="0" applyFill="1" applyBorder="1" applyAlignment="1">
      <alignment horizontal="center" vertical="center"/>
    </xf>
    <xf numFmtId="0" fontId="2" fillId="0" borderId="1" xfId="0" applyFont="1" applyBorder="1" applyAlignment="1">
      <alignment horizontal="center" vertical="center"/>
    </xf>
    <xf numFmtId="1" fontId="0" fillId="0" borderId="1" xfId="0" applyNumberFormat="1" applyBorder="1" applyAlignment="1">
      <alignment horizontal="center" vertical="center"/>
    </xf>
    <xf numFmtId="0" fontId="1" fillId="0" borderId="1" xfId="0" applyFont="1" applyBorder="1" applyAlignment="1">
      <alignment vertical="center"/>
    </xf>
    <xf numFmtId="9" fontId="0" fillId="0" borderId="1" xfId="0" applyNumberFormat="1" applyBorder="1" applyAlignment="1">
      <alignment horizontal="center" vertical="center"/>
    </xf>
    <xf numFmtId="0" fontId="5" fillId="0" borderId="0" xfId="0" applyFont="1"/>
    <xf numFmtId="0" fontId="5" fillId="0" borderId="4" xfId="0" applyFont="1" applyBorder="1"/>
    <xf numFmtId="0" fontId="5" fillId="0" borderId="7" xfId="0" applyFont="1" applyBorder="1"/>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5" fillId="5" borderId="7" xfId="0" applyFont="1" applyFill="1" applyBorder="1"/>
    <xf numFmtId="0" fontId="5" fillId="6" borderId="7" xfId="0" applyFont="1" applyFill="1" applyBorder="1"/>
    <xf numFmtId="0" fontId="5" fillId="0" borderId="7" xfId="0" applyFont="1" applyBorder="1" applyAlignment="1">
      <alignment vertical="center"/>
    </xf>
    <xf numFmtId="0" fontId="5" fillId="0" borderId="1" xfId="0" applyFont="1" applyBorder="1"/>
    <xf numFmtId="0" fontId="5" fillId="0" borderId="5" xfId="0" applyFont="1" applyBorder="1"/>
    <xf numFmtId="0" fontId="3" fillId="0" borderId="0" xfId="1"/>
    <xf numFmtId="0" fontId="2" fillId="0" borderId="1" xfId="1" applyFont="1" applyBorder="1" applyAlignment="1">
      <alignment horizontal="center" vertical="center"/>
    </xf>
    <xf numFmtId="0" fontId="2" fillId="0" borderId="1" xfId="1" applyFont="1" applyBorder="1" applyAlignment="1">
      <alignment horizontal="center" vertical="center" wrapText="1"/>
    </xf>
    <xf numFmtId="0" fontId="2" fillId="0" borderId="0" xfId="1" applyFont="1" applyAlignment="1">
      <alignment horizontal="center"/>
    </xf>
    <xf numFmtId="0" fontId="2" fillId="0" borderId="8" xfId="1" applyFont="1" applyBorder="1" applyAlignment="1">
      <alignment horizontal="center" vertical="center"/>
    </xf>
    <xf numFmtId="0" fontId="2" fillId="0" borderId="8" xfId="1" applyFont="1" applyBorder="1" applyAlignment="1">
      <alignment horizontal="center"/>
    </xf>
    <xf numFmtId="0" fontId="3" fillId="0" borderId="10" xfId="1" applyBorder="1" applyAlignment="1">
      <alignment horizontal="center" vertical="center"/>
    </xf>
    <xf numFmtId="0" fontId="3" fillId="0" borderId="10" xfId="1" applyBorder="1" applyAlignment="1">
      <alignment horizontal="left" vertical="center" wrapText="1"/>
    </xf>
    <xf numFmtId="0" fontId="3" fillId="0" borderId="1" xfId="1" applyBorder="1" applyAlignment="1">
      <alignment horizontal="center" vertical="center"/>
    </xf>
    <xf numFmtId="0" fontId="3" fillId="0" borderId="1" xfId="1" applyBorder="1" applyAlignment="1">
      <alignment horizontal="left" vertical="center" wrapText="1"/>
    </xf>
    <xf numFmtId="0" fontId="3" fillId="0" borderId="15" xfId="1" applyBorder="1" applyAlignment="1">
      <alignment horizontal="center" vertical="center"/>
    </xf>
    <xf numFmtId="0" fontId="3" fillId="0" borderId="15" xfId="1" applyBorder="1" applyAlignment="1">
      <alignment horizontal="left" vertical="center" wrapText="1"/>
    </xf>
    <xf numFmtId="0" fontId="3" fillId="0" borderId="1" xfId="1" applyBorder="1" applyAlignment="1">
      <alignment horizontal="left" vertical="center"/>
    </xf>
    <xf numFmtId="0" fontId="3" fillId="0" borderId="15" xfId="1" applyBorder="1" applyAlignment="1">
      <alignment horizontal="left" vertical="center"/>
    </xf>
    <xf numFmtId="0" fontId="3" fillId="0" borderId="10" xfId="1" applyBorder="1" applyAlignment="1">
      <alignment horizontal="left" vertical="center"/>
    </xf>
    <xf numFmtId="0" fontId="3" fillId="0" borderId="10" xfId="1" applyBorder="1" applyAlignment="1">
      <alignment vertical="center"/>
    </xf>
    <xf numFmtId="0" fontId="3" fillId="0" borderId="1" xfId="1" applyBorder="1" applyAlignment="1">
      <alignment vertical="center"/>
    </xf>
    <xf numFmtId="0" fontId="3" fillId="0" borderId="15" xfId="1" applyBorder="1" applyAlignment="1">
      <alignment vertical="center"/>
    </xf>
    <xf numFmtId="0" fontId="1" fillId="0" borderId="1" xfId="0" applyFont="1" applyBorder="1" applyAlignment="1">
      <alignment horizontal="right" vertical="center"/>
    </xf>
    <xf numFmtId="0" fontId="0" fillId="0" borderId="0" xfId="0" applyAlignment="1">
      <alignment vertical="center"/>
    </xf>
    <xf numFmtId="0" fontId="2" fillId="0" borderId="10" xfId="1" applyFont="1" applyBorder="1" applyAlignment="1">
      <alignment horizontal="center" vertical="center" wrapText="1"/>
    </xf>
    <xf numFmtId="0" fontId="2" fillId="0" borderId="15" xfId="1" applyFont="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2" fillId="7" borderId="1" xfId="0" applyFont="1"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wrapText="1"/>
    </xf>
    <xf numFmtId="0" fontId="0" fillId="0" borderId="0" xfId="0" applyAlignment="1">
      <alignment vertical="center" wrapText="1"/>
    </xf>
    <xf numFmtId="0" fontId="2" fillId="7" borderId="1" xfId="0" applyFont="1" applyFill="1" applyBorder="1" applyAlignment="1">
      <alignment vertical="center" wrapText="1"/>
    </xf>
    <xf numFmtId="0" fontId="2" fillId="0" borderId="2" xfId="0" applyFont="1" applyBorder="1" applyAlignment="1">
      <alignment horizontal="center" vertical="center"/>
    </xf>
    <xf numFmtId="0" fontId="0" fillId="4" borderId="2" xfId="0" applyFill="1" applyBorder="1" applyAlignment="1">
      <alignment horizontal="center" vertical="center"/>
    </xf>
    <xf numFmtId="1" fontId="0" fillId="0" borderId="12" xfId="0" applyNumberFormat="1" applyBorder="1" applyAlignment="1">
      <alignment horizontal="center" vertical="center"/>
    </xf>
    <xf numFmtId="0" fontId="0" fillId="0" borderId="25"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6" xfId="0" applyBorder="1" applyAlignment="1">
      <alignment horizontal="center" vertical="center"/>
    </xf>
    <xf numFmtId="0" fontId="2" fillId="0" borderId="30" xfId="0" applyFont="1" applyBorder="1" applyAlignment="1">
      <alignment horizontal="center" vertical="center"/>
    </xf>
    <xf numFmtId="1" fontId="2" fillId="0" borderId="5" xfId="0" applyNumberFormat="1" applyFont="1" applyBorder="1" applyAlignment="1">
      <alignment horizontal="center" vertical="center"/>
    </xf>
    <xf numFmtId="0" fontId="2" fillId="0" borderId="5" xfId="0" applyFont="1" applyBorder="1" applyAlignment="1">
      <alignment horizontal="center" vertical="center"/>
    </xf>
    <xf numFmtId="1" fontId="2" fillId="0" borderId="31" xfId="0" applyNumberFormat="1" applyFont="1" applyBorder="1" applyAlignment="1">
      <alignment horizontal="center" vertical="center"/>
    </xf>
    <xf numFmtId="1" fontId="2" fillId="0" borderId="30" xfId="0" applyNumberFormat="1" applyFont="1" applyBorder="1" applyAlignment="1">
      <alignment horizontal="center" vertical="center"/>
    </xf>
    <xf numFmtId="1" fontId="0" fillId="0" borderId="25" xfId="0" applyNumberFormat="1" applyBorder="1" applyAlignment="1">
      <alignment horizontal="center" vertical="center"/>
    </xf>
    <xf numFmtId="0" fontId="2" fillId="0" borderId="31" xfId="0" applyFont="1" applyBorder="1" applyAlignment="1">
      <alignment horizontal="center" vertical="center"/>
    </xf>
    <xf numFmtId="9" fontId="0" fillId="0" borderId="12" xfId="0" applyNumberFormat="1" applyBorder="1" applyAlignment="1">
      <alignment horizontal="center" vertical="center"/>
    </xf>
    <xf numFmtId="9" fontId="0" fillId="0" borderId="25" xfId="0" applyNumberFormat="1" applyBorder="1" applyAlignment="1">
      <alignment horizontal="center" vertical="center"/>
    </xf>
    <xf numFmtId="9" fontId="0" fillId="0" borderId="14" xfId="0" applyNumberFormat="1" applyBorder="1" applyAlignment="1">
      <alignment horizontal="center" vertical="center"/>
    </xf>
    <xf numFmtId="9" fontId="0" fillId="0" borderId="15" xfId="0" applyNumberFormat="1" applyBorder="1" applyAlignment="1">
      <alignment horizontal="center" vertical="center"/>
    </xf>
    <xf numFmtId="9" fontId="0" fillId="0" borderId="26" xfId="0" applyNumberFormat="1" applyBorder="1" applyAlignment="1">
      <alignment horizontal="center" vertical="center"/>
    </xf>
    <xf numFmtId="0" fontId="7"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0" borderId="10" xfId="1" applyBorder="1" applyAlignment="1">
      <alignment horizontal="center" vertical="center"/>
    </xf>
    <xf numFmtId="0" fontId="3" fillId="0" borderId="1" xfId="1" applyBorder="1" applyAlignment="1">
      <alignment horizontal="center" vertical="center"/>
    </xf>
    <xf numFmtId="0" fontId="2" fillId="0" borderId="1" xfId="1" applyFont="1" applyBorder="1" applyAlignment="1">
      <alignment horizontal="center"/>
    </xf>
    <xf numFmtId="0" fontId="2" fillId="0" borderId="1" xfId="1" applyFont="1" applyBorder="1" applyAlignment="1">
      <alignment horizontal="center" vertical="center"/>
    </xf>
    <xf numFmtId="0" fontId="2" fillId="0" borderId="8" xfId="1" applyFont="1" applyBorder="1" applyAlignment="1">
      <alignment horizontal="center" vertical="center"/>
    </xf>
    <xf numFmtId="0" fontId="2" fillId="0" borderId="1" xfId="1" applyFont="1" applyBorder="1" applyAlignment="1">
      <alignment horizontal="center" vertical="center" wrapText="1"/>
    </xf>
    <xf numFmtId="0" fontId="2" fillId="0" borderId="8" xfId="1" applyFont="1" applyBorder="1" applyAlignment="1">
      <alignment horizontal="center" vertical="center" wrapText="1"/>
    </xf>
    <xf numFmtId="0" fontId="3" fillId="0" borderId="9" xfId="1" applyBorder="1" applyAlignment="1">
      <alignment horizontal="center" vertical="center"/>
    </xf>
    <xf numFmtId="0" fontId="3" fillId="0" borderId="12" xfId="1" applyBorder="1" applyAlignment="1">
      <alignment horizontal="center" vertical="center"/>
    </xf>
    <xf numFmtId="0" fontId="3" fillId="0" borderId="14" xfId="1" applyBorder="1" applyAlignment="1">
      <alignment horizontal="center" vertical="center"/>
    </xf>
    <xf numFmtId="0" fontId="3" fillId="0" borderId="15" xfId="1" applyBorder="1" applyAlignment="1">
      <alignment horizontal="center" vertical="center"/>
    </xf>
    <xf numFmtId="0" fontId="3" fillId="0" borderId="11" xfId="1" applyBorder="1" applyAlignment="1">
      <alignment horizontal="left" wrapText="1"/>
    </xf>
    <xf numFmtId="0" fontId="3" fillId="0" borderId="13" xfId="1" applyBorder="1" applyAlignment="1">
      <alignment horizontal="left" wrapText="1"/>
    </xf>
    <xf numFmtId="0" fontId="3" fillId="0" borderId="16" xfId="1" applyBorder="1" applyAlignment="1">
      <alignment horizontal="left" wrapText="1"/>
    </xf>
    <xf numFmtId="0" fontId="3" fillId="0" borderId="17" xfId="1" applyBorder="1" applyAlignment="1">
      <alignment horizontal="center" vertical="center"/>
    </xf>
    <xf numFmtId="0" fontId="3" fillId="0" borderId="19" xfId="1" applyBorder="1" applyAlignment="1">
      <alignment horizontal="center" vertical="center"/>
    </xf>
    <xf numFmtId="0" fontId="3" fillId="0" borderId="20" xfId="1" applyBorder="1" applyAlignment="1">
      <alignment horizontal="center" vertical="center"/>
    </xf>
    <xf numFmtId="0" fontId="3" fillId="0" borderId="18" xfId="1" applyBorder="1" applyAlignment="1">
      <alignment horizontal="center" vertical="center"/>
    </xf>
    <xf numFmtId="0" fontId="3" fillId="0" borderId="6" xfId="1" applyBorder="1" applyAlignment="1">
      <alignment horizontal="center" vertical="center"/>
    </xf>
    <xf numFmtId="0" fontId="3" fillId="0" borderId="21" xfId="1" applyBorder="1" applyAlignment="1">
      <alignment horizontal="center" vertical="center"/>
    </xf>
    <xf numFmtId="0" fontId="3" fillId="0" borderId="11" xfId="1" applyBorder="1" applyAlignment="1">
      <alignment horizontal="left" vertical="center" wrapText="1"/>
    </xf>
    <xf numFmtId="0" fontId="3" fillId="0" borderId="13" xfId="1" applyBorder="1" applyAlignment="1">
      <alignment horizontal="left" vertical="center" wrapText="1"/>
    </xf>
    <xf numFmtId="0" fontId="3" fillId="0" borderId="16" xfId="1" applyBorder="1" applyAlignment="1">
      <alignment horizontal="left" vertical="center" wrapText="1"/>
    </xf>
    <xf numFmtId="0" fontId="3" fillId="0" borderId="18" xfId="1" applyBorder="1" applyAlignment="1">
      <alignment horizontal="center" vertical="center" wrapText="1"/>
    </xf>
    <xf numFmtId="0" fontId="3" fillId="0" borderId="6" xfId="1" applyBorder="1" applyAlignment="1">
      <alignment horizontal="center" vertical="center" wrapText="1"/>
    </xf>
    <xf numFmtId="0" fontId="3" fillId="0" borderId="21" xfId="1" applyBorder="1" applyAlignment="1">
      <alignment horizontal="center" vertical="center" wrapText="1"/>
    </xf>
    <xf numFmtId="0" fontId="3" fillId="0" borderId="11" xfId="1" applyBorder="1" applyAlignment="1">
      <alignment horizontal="left" vertical="center"/>
    </xf>
    <xf numFmtId="0" fontId="3" fillId="0" borderId="13" xfId="1" applyBorder="1" applyAlignment="1">
      <alignment horizontal="left" vertical="center"/>
    </xf>
    <xf numFmtId="0" fontId="3" fillId="0" borderId="16" xfId="1" applyBorder="1" applyAlignment="1">
      <alignment horizontal="left"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1" fillId="2" borderId="0" xfId="0" applyFont="1" applyFill="1" applyAlignment="1" applyProtection="1">
      <alignment horizontal="center" vertical="center" wrapText="1"/>
      <protection locked="0"/>
    </xf>
    <xf numFmtId="0" fontId="1" fillId="2" borderId="24" xfId="0" applyFont="1" applyFill="1" applyBorder="1" applyAlignment="1" applyProtection="1">
      <alignment horizontal="center" vertical="center" wrapText="1"/>
      <protection locked="0"/>
    </xf>
    <xf numFmtId="0" fontId="1" fillId="2" borderId="22" xfId="0" applyFont="1" applyFill="1" applyBorder="1" applyAlignment="1" applyProtection="1">
      <alignment horizontal="center" vertical="center" wrapText="1"/>
      <protection locked="0"/>
    </xf>
    <xf numFmtId="0" fontId="1" fillId="2" borderId="7" xfId="0" applyFont="1" applyFill="1" applyBorder="1" applyAlignment="1" applyProtection="1">
      <alignment horizontal="center" vertical="center" wrapText="1"/>
      <protection locked="0"/>
    </xf>
    <xf numFmtId="0" fontId="1" fillId="2" borderId="2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1" fillId="2" borderId="1" xfId="0" applyFont="1" applyFill="1" applyBorder="1" applyAlignment="1" applyProtection="1">
      <alignment horizontal="left" vertical="center" wrapText="1"/>
      <protection locked="0"/>
    </xf>
    <xf numFmtId="0" fontId="1" fillId="8" borderId="1" xfId="0" applyFont="1" applyFill="1" applyBorder="1" applyAlignment="1" applyProtection="1">
      <alignment horizontal="left" vertical="center" wrapText="1"/>
      <protection locked="0"/>
    </xf>
    <xf numFmtId="0" fontId="8" fillId="2" borderId="1" xfId="0" applyFont="1" applyFill="1" applyBorder="1" applyAlignment="1" applyProtection="1">
      <alignment horizontal="center" vertical="center" wrapText="1"/>
      <protection locked="0"/>
    </xf>
    <xf numFmtId="0" fontId="8" fillId="2" borderId="8"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cellXfs>
  <cellStyles count="2">
    <cellStyle name="Normal" xfId="0" builtinId="0"/>
    <cellStyle name="Normal 2" xfId="1" xr:uid="{1D1471E7-2F5F-2546-9984-D9F4415479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42DA-E438-1544-A414-A45EBEA0992D}">
  <dimension ref="A1:H26"/>
  <sheetViews>
    <sheetView zoomScale="130" workbookViewId="0">
      <selection activeCell="C19" sqref="C19:C21"/>
    </sheetView>
  </sheetViews>
  <sheetFormatPr baseColWidth="10" defaultRowHeight="16" x14ac:dyDescent="0.2"/>
  <cols>
    <col min="1" max="1" width="5.5" bestFit="1" customWidth="1"/>
    <col min="2" max="2" width="29.1640625" bestFit="1" customWidth="1"/>
    <col min="3" max="3" width="65.33203125" bestFit="1" customWidth="1"/>
    <col min="4" max="4" width="16.33203125" customWidth="1"/>
    <col min="5" max="5" width="11.1640625" bestFit="1" customWidth="1"/>
    <col min="6" max="6" width="12.5" bestFit="1" customWidth="1"/>
    <col min="7" max="7" width="12" bestFit="1" customWidth="1"/>
    <col min="8" max="8" width="108" customWidth="1"/>
  </cols>
  <sheetData>
    <row r="1" spans="1:8" x14ac:dyDescent="0.2">
      <c r="A1" s="79" t="s">
        <v>102</v>
      </c>
      <c r="B1" s="79"/>
      <c r="C1" s="79"/>
      <c r="D1" s="79"/>
      <c r="E1" s="79"/>
      <c r="F1" s="79"/>
      <c r="G1" s="79"/>
      <c r="H1" s="26"/>
    </row>
    <row r="2" spans="1:8" ht="30" customHeight="1" x14ac:dyDescent="0.2">
      <c r="A2" s="80" t="s">
        <v>68</v>
      </c>
      <c r="B2" s="82" t="s">
        <v>103</v>
      </c>
      <c r="C2" s="80" t="s">
        <v>104</v>
      </c>
      <c r="D2" s="27"/>
      <c r="E2" s="79" t="s">
        <v>105</v>
      </c>
      <c r="F2" s="79"/>
      <c r="G2" s="79"/>
      <c r="H2" s="29" t="s">
        <v>106</v>
      </c>
    </row>
    <row r="3" spans="1:8" ht="30" customHeight="1" thickBot="1" x14ac:dyDescent="0.25">
      <c r="A3" s="81"/>
      <c r="B3" s="83"/>
      <c r="C3" s="81"/>
      <c r="D3" s="30" t="s">
        <v>143</v>
      </c>
      <c r="E3" s="31" t="s">
        <v>107</v>
      </c>
      <c r="F3" s="31" t="s">
        <v>108</v>
      </c>
      <c r="G3" s="31" t="s">
        <v>109</v>
      </c>
      <c r="H3" s="26"/>
    </row>
    <row r="4" spans="1:8" ht="30" customHeight="1" x14ac:dyDescent="0.2">
      <c r="A4" s="84">
        <v>1</v>
      </c>
      <c r="B4" s="77" t="s">
        <v>110</v>
      </c>
      <c r="C4" s="33" t="s">
        <v>111</v>
      </c>
      <c r="D4" s="46" t="s">
        <v>142</v>
      </c>
      <c r="E4" s="77" t="s">
        <v>112</v>
      </c>
      <c r="F4" s="77" t="s">
        <v>113</v>
      </c>
      <c r="G4" s="77" t="s">
        <v>114</v>
      </c>
      <c r="H4" s="88" t="s">
        <v>115</v>
      </c>
    </row>
    <row r="5" spans="1:8" ht="30" customHeight="1" x14ac:dyDescent="0.2">
      <c r="A5" s="85"/>
      <c r="B5" s="78"/>
      <c r="C5" s="35" t="s">
        <v>116</v>
      </c>
      <c r="D5" s="28" t="s">
        <v>144</v>
      </c>
      <c r="E5" s="78"/>
      <c r="F5" s="78"/>
      <c r="G5" s="78"/>
      <c r="H5" s="89"/>
    </row>
    <row r="6" spans="1:8" ht="30" customHeight="1" x14ac:dyDescent="0.2">
      <c r="A6" s="85"/>
      <c r="B6" s="78"/>
      <c r="C6" s="35" t="s">
        <v>117</v>
      </c>
      <c r="D6" s="28" t="s">
        <v>145</v>
      </c>
      <c r="E6" s="78"/>
      <c r="F6" s="78"/>
      <c r="G6" s="78"/>
      <c r="H6" s="89"/>
    </row>
    <row r="7" spans="1:8" ht="30" customHeight="1" thickBot="1" x14ac:dyDescent="0.25">
      <c r="A7" s="86"/>
      <c r="B7" s="87"/>
      <c r="C7" s="37" t="s">
        <v>118</v>
      </c>
      <c r="D7" s="47" t="s">
        <v>146</v>
      </c>
      <c r="E7" s="87"/>
      <c r="F7" s="87"/>
      <c r="G7" s="87"/>
      <c r="H7" s="90"/>
    </row>
    <row r="8" spans="1:8" ht="30" customHeight="1" x14ac:dyDescent="0.2">
      <c r="A8" s="91">
        <v>2</v>
      </c>
      <c r="B8" s="100" t="s">
        <v>119</v>
      </c>
      <c r="C8" s="33" t="s">
        <v>4</v>
      </c>
      <c r="D8" s="33"/>
      <c r="E8" s="77" t="s">
        <v>113</v>
      </c>
      <c r="F8" s="77" t="s">
        <v>120</v>
      </c>
      <c r="G8" s="77" t="s">
        <v>121</v>
      </c>
      <c r="H8" s="97" t="s">
        <v>122</v>
      </c>
    </row>
    <row r="9" spans="1:8" ht="30" customHeight="1" x14ac:dyDescent="0.2">
      <c r="A9" s="92"/>
      <c r="B9" s="101"/>
      <c r="C9" s="35" t="s">
        <v>5</v>
      </c>
      <c r="D9" s="35"/>
      <c r="E9" s="78"/>
      <c r="F9" s="78"/>
      <c r="G9" s="78"/>
      <c r="H9" s="98"/>
    </row>
    <row r="10" spans="1:8" ht="30" customHeight="1" x14ac:dyDescent="0.2">
      <c r="A10" s="92"/>
      <c r="B10" s="101"/>
      <c r="C10" s="35" t="s">
        <v>6</v>
      </c>
      <c r="D10" s="35"/>
      <c r="E10" s="78"/>
      <c r="F10" s="78"/>
      <c r="G10" s="78"/>
      <c r="H10" s="98"/>
    </row>
    <row r="11" spans="1:8" ht="30" customHeight="1" x14ac:dyDescent="0.2">
      <c r="A11" s="92"/>
      <c r="B11" s="101"/>
      <c r="C11" s="35" t="s">
        <v>7</v>
      </c>
      <c r="D11" s="35"/>
      <c r="E11" s="78"/>
      <c r="F11" s="78"/>
      <c r="G11" s="78"/>
      <c r="H11" s="98"/>
    </row>
    <row r="12" spans="1:8" ht="30" customHeight="1" x14ac:dyDescent="0.2">
      <c r="A12" s="92"/>
      <c r="B12" s="101"/>
      <c r="C12" s="38" t="s">
        <v>123</v>
      </c>
      <c r="D12" s="38"/>
      <c r="E12" s="78" t="s">
        <v>112</v>
      </c>
      <c r="F12" s="78" t="s">
        <v>124</v>
      </c>
      <c r="G12" s="78" t="s">
        <v>125</v>
      </c>
      <c r="H12" s="98" t="s">
        <v>126</v>
      </c>
    </row>
    <row r="13" spans="1:8" ht="30" customHeight="1" x14ac:dyDescent="0.2">
      <c r="A13" s="92"/>
      <c r="B13" s="101"/>
      <c r="C13" s="38" t="s">
        <v>127</v>
      </c>
      <c r="D13" s="38"/>
      <c r="E13" s="78"/>
      <c r="F13" s="78"/>
      <c r="G13" s="78"/>
      <c r="H13" s="98"/>
    </row>
    <row r="14" spans="1:8" ht="30" customHeight="1" thickBot="1" x14ac:dyDescent="0.25">
      <c r="A14" s="93"/>
      <c r="B14" s="102"/>
      <c r="C14" s="39" t="s">
        <v>128</v>
      </c>
      <c r="D14" s="39"/>
      <c r="E14" s="87"/>
      <c r="F14" s="87"/>
      <c r="G14" s="87"/>
      <c r="H14" s="99"/>
    </row>
    <row r="15" spans="1:8" ht="30" customHeight="1" x14ac:dyDescent="0.2">
      <c r="A15" s="91">
        <v>3</v>
      </c>
      <c r="B15" s="100" t="s">
        <v>129</v>
      </c>
      <c r="C15" s="40" t="s">
        <v>8</v>
      </c>
      <c r="D15" s="40"/>
      <c r="E15" s="77" t="s">
        <v>107</v>
      </c>
      <c r="F15" s="77" t="s">
        <v>108</v>
      </c>
      <c r="G15" s="77" t="s">
        <v>109</v>
      </c>
      <c r="H15" s="103" t="s">
        <v>130</v>
      </c>
    </row>
    <row r="16" spans="1:8" ht="30" customHeight="1" x14ac:dyDescent="0.2">
      <c r="A16" s="92"/>
      <c r="B16" s="101"/>
      <c r="C16" s="38" t="s">
        <v>9</v>
      </c>
      <c r="D16" s="38"/>
      <c r="E16" s="78"/>
      <c r="F16" s="78"/>
      <c r="G16" s="78"/>
      <c r="H16" s="104"/>
    </row>
    <row r="17" spans="1:8" ht="30" customHeight="1" x14ac:dyDescent="0.2">
      <c r="A17" s="92"/>
      <c r="B17" s="101"/>
      <c r="C17" s="38" t="s">
        <v>18</v>
      </c>
      <c r="D17" s="38"/>
      <c r="E17" s="78" t="s">
        <v>107</v>
      </c>
      <c r="F17" s="78" t="s">
        <v>113</v>
      </c>
      <c r="G17" s="78" t="s">
        <v>109</v>
      </c>
      <c r="H17" s="104" t="s">
        <v>131</v>
      </c>
    </row>
    <row r="18" spans="1:8" ht="30" customHeight="1" thickBot="1" x14ac:dyDescent="0.25">
      <c r="A18" s="93"/>
      <c r="B18" s="102"/>
      <c r="C18" s="39" t="s">
        <v>19</v>
      </c>
      <c r="D18" s="39"/>
      <c r="E18" s="87"/>
      <c r="F18" s="87"/>
      <c r="G18" s="87"/>
      <c r="H18" s="105"/>
    </row>
    <row r="19" spans="1:8" ht="30" customHeight="1" x14ac:dyDescent="0.2">
      <c r="A19" s="91">
        <v>4</v>
      </c>
      <c r="B19" s="94" t="s">
        <v>132</v>
      </c>
      <c r="C19" s="41" t="s">
        <v>10</v>
      </c>
      <c r="D19" s="41"/>
      <c r="E19" s="32" t="s">
        <v>133</v>
      </c>
      <c r="F19" s="32" t="s">
        <v>134</v>
      </c>
      <c r="G19" s="32" t="s">
        <v>135</v>
      </c>
      <c r="H19" s="97" t="s">
        <v>136</v>
      </c>
    </row>
    <row r="20" spans="1:8" ht="30" customHeight="1" x14ac:dyDescent="0.2">
      <c r="A20" s="92"/>
      <c r="B20" s="95"/>
      <c r="C20" s="42" t="s">
        <v>11</v>
      </c>
      <c r="D20" s="42"/>
      <c r="E20" s="34" t="s">
        <v>137</v>
      </c>
      <c r="F20" s="34" t="s">
        <v>138</v>
      </c>
      <c r="G20" s="34" t="s">
        <v>139</v>
      </c>
      <c r="H20" s="98"/>
    </row>
    <row r="21" spans="1:8" ht="30" customHeight="1" x14ac:dyDescent="0.2">
      <c r="A21" s="92"/>
      <c r="B21" s="95"/>
      <c r="C21" s="42" t="s">
        <v>12</v>
      </c>
      <c r="D21" s="42"/>
      <c r="E21" s="34" t="s">
        <v>137</v>
      </c>
      <c r="F21" s="34" t="s">
        <v>138</v>
      </c>
      <c r="G21" s="34" t="s">
        <v>139</v>
      </c>
      <c r="H21" s="98"/>
    </row>
    <row r="22" spans="1:8" ht="30" customHeight="1" x14ac:dyDescent="0.2">
      <c r="A22" s="92"/>
      <c r="B22" s="95"/>
      <c r="C22" s="42" t="s">
        <v>13</v>
      </c>
      <c r="D22" s="42"/>
      <c r="E22" s="34" t="s">
        <v>133</v>
      </c>
      <c r="F22" s="34" t="s">
        <v>134</v>
      </c>
      <c r="G22" s="34" t="s">
        <v>135</v>
      </c>
      <c r="H22" s="98"/>
    </row>
    <row r="23" spans="1:8" ht="30" customHeight="1" x14ac:dyDescent="0.2">
      <c r="A23" s="92"/>
      <c r="B23" s="95"/>
      <c r="C23" s="42" t="s">
        <v>14</v>
      </c>
      <c r="D23" s="42"/>
      <c r="E23" s="34" t="s">
        <v>137</v>
      </c>
      <c r="F23" s="34" t="s">
        <v>138</v>
      </c>
      <c r="G23" s="34" t="s">
        <v>139</v>
      </c>
      <c r="H23" s="98"/>
    </row>
    <row r="24" spans="1:8" ht="30" customHeight="1" x14ac:dyDescent="0.2">
      <c r="A24" s="92"/>
      <c r="B24" s="95"/>
      <c r="C24" s="42" t="s">
        <v>15</v>
      </c>
      <c r="D24" s="42"/>
      <c r="E24" s="34" t="s">
        <v>137</v>
      </c>
      <c r="F24" s="34" t="s">
        <v>138</v>
      </c>
      <c r="G24" s="34" t="s">
        <v>139</v>
      </c>
      <c r="H24" s="98"/>
    </row>
    <row r="25" spans="1:8" ht="30" customHeight="1" x14ac:dyDescent="0.2">
      <c r="A25" s="92"/>
      <c r="B25" s="95"/>
      <c r="C25" s="42" t="s">
        <v>16</v>
      </c>
      <c r="D25" s="42"/>
      <c r="E25" s="34" t="s">
        <v>137</v>
      </c>
      <c r="F25" s="34" t="s">
        <v>140</v>
      </c>
      <c r="G25" s="34" t="s">
        <v>141</v>
      </c>
      <c r="H25" s="98"/>
    </row>
    <row r="26" spans="1:8" ht="30" customHeight="1" thickBot="1" x14ac:dyDescent="0.25">
      <c r="A26" s="93"/>
      <c r="B26" s="96"/>
      <c r="C26" s="43" t="s">
        <v>17</v>
      </c>
      <c r="D26" s="43"/>
      <c r="E26" s="36" t="s">
        <v>137</v>
      </c>
      <c r="F26" s="36" t="s">
        <v>140</v>
      </c>
      <c r="G26" s="36" t="s">
        <v>141</v>
      </c>
      <c r="H26" s="99"/>
    </row>
  </sheetData>
  <mergeCells count="34">
    <mergeCell ref="H15:H16"/>
    <mergeCell ref="E17:E18"/>
    <mergeCell ref="F17:F18"/>
    <mergeCell ref="G17:G18"/>
    <mergeCell ref="H17:H18"/>
    <mergeCell ref="H4:H7"/>
    <mergeCell ref="A19:A26"/>
    <mergeCell ref="B19:B26"/>
    <mergeCell ref="H19:H26"/>
    <mergeCell ref="H8:H11"/>
    <mergeCell ref="E12:E14"/>
    <mergeCell ref="F12:F14"/>
    <mergeCell ref="G12:G14"/>
    <mergeCell ref="H12:H14"/>
    <mergeCell ref="A15:A18"/>
    <mergeCell ref="B15:B18"/>
    <mergeCell ref="E15:E16"/>
    <mergeCell ref="F15:F16"/>
    <mergeCell ref="G15:G16"/>
    <mergeCell ref="A8:A14"/>
    <mergeCell ref="B8:B14"/>
    <mergeCell ref="F8:F11"/>
    <mergeCell ref="G8:G11"/>
    <mergeCell ref="A1:G1"/>
    <mergeCell ref="A2:A3"/>
    <mergeCell ref="B2:B3"/>
    <mergeCell ref="C2:C3"/>
    <mergeCell ref="E2:G2"/>
    <mergeCell ref="A4:A7"/>
    <mergeCell ref="B4:B7"/>
    <mergeCell ref="E4:E7"/>
    <mergeCell ref="F4:F7"/>
    <mergeCell ref="G4:G7"/>
    <mergeCell ref="E8: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95B1-BC70-BA45-9A57-0779B502130D}">
  <dimension ref="A1:D25"/>
  <sheetViews>
    <sheetView tabSelected="1" zoomScale="214" workbookViewId="0">
      <selection activeCell="B8" sqref="B8"/>
    </sheetView>
  </sheetViews>
  <sheetFormatPr baseColWidth="10" defaultRowHeight="16" x14ac:dyDescent="0.2"/>
  <cols>
    <col min="2" max="2" width="17.5" bestFit="1" customWidth="1"/>
    <col min="3" max="3" width="118" customWidth="1"/>
  </cols>
  <sheetData>
    <row r="1" spans="1:4" x14ac:dyDescent="0.2">
      <c r="A1" s="106" t="s">
        <v>67</v>
      </c>
      <c r="B1" s="107"/>
      <c r="C1" s="108"/>
      <c r="D1" s="15"/>
    </row>
    <row r="2" spans="1:4" x14ac:dyDescent="0.2">
      <c r="A2" s="109" t="s">
        <v>68</v>
      </c>
      <c r="B2" s="111" t="s">
        <v>69</v>
      </c>
      <c r="C2" s="109" t="s">
        <v>70</v>
      </c>
      <c r="D2" s="16" t="s">
        <v>71</v>
      </c>
    </row>
    <row r="3" spans="1:4" x14ac:dyDescent="0.2">
      <c r="A3" s="110"/>
      <c r="B3" s="112"/>
      <c r="C3" s="110"/>
      <c r="D3" s="17"/>
    </row>
    <row r="4" spans="1:4" ht="17" x14ac:dyDescent="0.2">
      <c r="A4" s="18">
        <v>1</v>
      </c>
      <c r="B4" s="19" t="s">
        <v>72</v>
      </c>
      <c r="C4" s="20" t="s">
        <v>73</v>
      </c>
      <c r="D4" s="21"/>
    </row>
    <row r="5" spans="1:4" ht="17" x14ac:dyDescent="0.2">
      <c r="A5" s="18">
        <v>2</v>
      </c>
      <c r="B5" s="19" t="s">
        <v>74</v>
      </c>
      <c r="C5" s="20" t="s">
        <v>75</v>
      </c>
      <c r="D5" s="21"/>
    </row>
    <row r="6" spans="1:4" ht="17" x14ac:dyDescent="0.2">
      <c r="A6" s="18">
        <v>3</v>
      </c>
      <c r="B6" s="19" t="s">
        <v>76</v>
      </c>
      <c r="C6" s="20" t="s">
        <v>77</v>
      </c>
      <c r="D6" s="22"/>
    </row>
    <row r="7" spans="1:4" ht="17" x14ac:dyDescent="0.2">
      <c r="A7" s="18">
        <v>4</v>
      </c>
      <c r="B7" s="19" t="s">
        <v>78</v>
      </c>
      <c r="C7" s="20" t="s">
        <v>79</v>
      </c>
      <c r="D7" s="22"/>
    </row>
    <row r="8" spans="1:4" ht="17" x14ac:dyDescent="0.2">
      <c r="A8" s="18"/>
      <c r="B8" s="19" t="s">
        <v>53</v>
      </c>
      <c r="C8" s="20" t="s">
        <v>80</v>
      </c>
      <c r="D8" s="22"/>
    </row>
    <row r="9" spans="1:4" ht="17" x14ac:dyDescent="0.2">
      <c r="A9" s="18"/>
      <c r="B9" s="19" t="s">
        <v>54</v>
      </c>
      <c r="C9" s="20" t="s">
        <v>81</v>
      </c>
      <c r="D9" s="22"/>
    </row>
    <row r="10" spans="1:4" ht="17" x14ac:dyDescent="0.2">
      <c r="A10" s="18"/>
      <c r="B10" s="19"/>
      <c r="C10" s="20" t="s">
        <v>82</v>
      </c>
      <c r="D10" s="22"/>
    </row>
    <row r="11" spans="1:4" ht="17" x14ac:dyDescent="0.2">
      <c r="A11" s="18"/>
      <c r="B11" s="19"/>
      <c r="C11" s="20" t="s">
        <v>83</v>
      </c>
      <c r="D11" s="22"/>
    </row>
    <row r="12" spans="1:4" x14ac:dyDescent="0.2">
      <c r="A12" s="18">
        <v>5</v>
      </c>
      <c r="B12" s="19" t="s">
        <v>84</v>
      </c>
      <c r="C12" s="23" t="s">
        <v>85</v>
      </c>
      <c r="D12" s="22"/>
    </row>
    <row r="13" spans="1:4" x14ac:dyDescent="0.2">
      <c r="A13" s="18">
        <v>6</v>
      </c>
      <c r="B13" s="19" t="s">
        <v>86</v>
      </c>
      <c r="C13" s="23" t="s">
        <v>87</v>
      </c>
      <c r="D13" s="22"/>
    </row>
    <row r="14" spans="1:4" x14ac:dyDescent="0.2">
      <c r="A14" s="18"/>
      <c r="B14" s="19"/>
      <c r="C14" s="23" t="s">
        <v>88</v>
      </c>
      <c r="D14" s="22"/>
    </row>
    <row r="15" spans="1:4" x14ac:dyDescent="0.2">
      <c r="A15" s="18"/>
      <c r="B15" s="19"/>
      <c r="C15" s="23" t="s">
        <v>89</v>
      </c>
      <c r="D15" s="22"/>
    </row>
    <row r="16" spans="1:4" x14ac:dyDescent="0.2">
      <c r="A16" s="18"/>
      <c r="B16" s="19"/>
      <c r="C16" s="23" t="s">
        <v>90</v>
      </c>
      <c r="D16" s="22"/>
    </row>
    <row r="17" spans="1:4" x14ac:dyDescent="0.2">
      <c r="A17" s="18">
        <v>7</v>
      </c>
      <c r="B17" s="19" t="s">
        <v>91</v>
      </c>
      <c r="C17" s="23" t="s">
        <v>92</v>
      </c>
      <c r="D17" s="22"/>
    </row>
    <row r="18" spans="1:4" x14ac:dyDescent="0.2">
      <c r="A18" s="18">
        <v>8</v>
      </c>
      <c r="B18" s="19" t="s">
        <v>93</v>
      </c>
      <c r="C18" s="23" t="s">
        <v>94</v>
      </c>
      <c r="D18" s="22"/>
    </row>
    <row r="19" spans="1:4" x14ac:dyDescent="0.2">
      <c r="A19" s="15"/>
      <c r="B19" s="15"/>
      <c r="C19" s="15"/>
      <c r="D19" s="15"/>
    </row>
    <row r="20" spans="1:4" x14ac:dyDescent="0.2">
      <c r="A20" s="15"/>
      <c r="B20" s="24" t="s">
        <v>95</v>
      </c>
      <c r="C20" s="113" t="s">
        <v>96</v>
      </c>
      <c r="D20" s="15"/>
    </row>
    <row r="21" spans="1:4" x14ac:dyDescent="0.2">
      <c r="A21" s="15"/>
      <c r="B21" s="25" t="s">
        <v>97</v>
      </c>
      <c r="C21" s="114"/>
      <c r="D21" s="15"/>
    </row>
    <row r="22" spans="1:4" x14ac:dyDescent="0.2">
      <c r="A22" s="15"/>
      <c r="B22" s="25" t="s">
        <v>98</v>
      </c>
      <c r="C22" s="114"/>
      <c r="D22" s="15"/>
    </row>
    <row r="23" spans="1:4" x14ac:dyDescent="0.2">
      <c r="A23" s="15"/>
      <c r="B23" s="25" t="s">
        <v>99</v>
      </c>
      <c r="C23" s="114"/>
      <c r="D23" s="15"/>
    </row>
    <row r="24" spans="1:4" x14ac:dyDescent="0.2">
      <c r="A24" s="15"/>
      <c r="B24" s="25" t="s">
        <v>100</v>
      </c>
      <c r="C24" s="114"/>
      <c r="D24" s="15"/>
    </row>
    <row r="25" spans="1:4" x14ac:dyDescent="0.2">
      <c r="A25" s="15"/>
      <c r="B25" s="25" t="s">
        <v>101</v>
      </c>
      <c r="C25" s="115"/>
      <c r="D25" s="15"/>
    </row>
  </sheetData>
  <mergeCells count="5">
    <mergeCell ref="A1:C1"/>
    <mergeCell ref="A2:A3"/>
    <mergeCell ref="B2:B3"/>
    <mergeCell ref="C2:C3"/>
    <mergeCell ref="C20:C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33"/>
  <sheetViews>
    <sheetView zoomScale="110" zoomScaleNormal="110" workbookViewId="0">
      <selection activeCell="I4" sqref="I4"/>
    </sheetView>
  </sheetViews>
  <sheetFormatPr baseColWidth="10" defaultColWidth="11" defaultRowHeight="16" x14ac:dyDescent="0.2"/>
  <cols>
    <col min="1" max="1" width="12.5" customWidth="1"/>
  </cols>
  <sheetData>
    <row r="1" spans="1:22" x14ac:dyDescent="0.2">
      <c r="A1" s="9" t="s">
        <v>0</v>
      </c>
      <c r="B1" s="2">
        <v>0.75</v>
      </c>
      <c r="C1" s="2">
        <v>0</v>
      </c>
      <c r="D1" s="2">
        <v>0</v>
      </c>
      <c r="E1" s="2">
        <v>0</v>
      </c>
      <c r="F1" s="2">
        <v>0</v>
      </c>
      <c r="G1" s="2">
        <v>0.6</v>
      </c>
      <c r="H1" s="2">
        <v>0.6</v>
      </c>
      <c r="I1" s="2">
        <v>0.6</v>
      </c>
      <c r="J1" s="2">
        <v>0.1</v>
      </c>
      <c r="K1" s="2">
        <v>0.1</v>
      </c>
      <c r="L1" s="2">
        <v>0.6</v>
      </c>
      <c r="M1" s="2">
        <v>0.1</v>
      </c>
      <c r="N1" s="2">
        <v>0.1</v>
      </c>
      <c r="O1" s="2">
        <v>0.1</v>
      </c>
      <c r="P1" s="2">
        <v>0.1</v>
      </c>
      <c r="Q1" s="2">
        <v>0.75</v>
      </c>
      <c r="R1" s="2">
        <v>0.75</v>
      </c>
      <c r="S1" s="2">
        <v>0.25</v>
      </c>
      <c r="T1" s="2">
        <v>0.25</v>
      </c>
    </row>
    <row r="2" spans="1:22" x14ac:dyDescent="0.2">
      <c r="A2" s="7" t="s">
        <v>1</v>
      </c>
      <c r="B2" s="1">
        <v>1.25</v>
      </c>
      <c r="C2" s="1">
        <v>0.5</v>
      </c>
      <c r="D2" s="1">
        <v>0.5</v>
      </c>
      <c r="E2" s="1">
        <v>0.5</v>
      </c>
      <c r="F2" s="1">
        <v>0.5</v>
      </c>
      <c r="G2" s="1">
        <v>1.4</v>
      </c>
      <c r="H2" s="1">
        <v>1.4</v>
      </c>
      <c r="I2" s="1">
        <v>0.9</v>
      </c>
      <c r="J2" s="1">
        <v>0.4</v>
      </c>
      <c r="K2" s="1">
        <v>0.4</v>
      </c>
      <c r="L2" s="1">
        <v>0.9</v>
      </c>
      <c r="M2" s="1">
        <v>0.4</v>
      </c>
      <c r="N2" s="1">
        <v>0.4</v>
      </c>
      <c r="O2" s="1">
        <v>0.3</v>
      </c>
      <c r="P2" s="1">
        <v>0.3</v>
      </c>
      <c r="Q2" s="1">
        <v>1.25</v>
      </c>
      <c r="R2" s="1">
        <v>1.25</v>
      </c>
      <c r="S2" s="1">
        <v>1</v>
      </c>
      <c r="T2" s="1">
        <v>1</v>
      </c>
    </row>
    <row r="3" spans="1:22" x14ac:dyDescent="0.2">
      <c r="A3" s="7" t="s">
        <v>2</v>
      </c>
      <c r="B3" s="1">
        <v>2</v>
      </c>
      <c r="C3" s="1">
        <v>2</v>
      </c>
      <c r="D3" s="1">
        <v>2</v>
      </c>
      <c r="E3" s="1">
        <v>2</v>
      </c>
      <c r="F3" s="1">
        <v>2</v>
      </c>
      <c r="G3" s="1">
        <v>2</v>
      </c>
      <c r="H3" s="1">
        <v>2</v>
      </c>
      <c r="I3" s="1">
        <v>2</v>
      </c>
      <c r="J3" s="1">
        <v>2</v>
      </c>
      <c r="K3" s="1">
        <v>2</v>
      </c>
      <c r="L3" s="1">
        <v>2</v>
      </c>
      <c r="M3" s="1">
        <v>2</v>
      </c>
      <c r="N3" s="1">
        <v>2</v>
      </c>
      <c r="O3" s="1">
        <v>2</v>
      </c>
      <c r="P3" s="1">
        <v>2</v>
      </c>
      <c r="Q3" s="1">
        <v>2</v>
      </c>
      <c r="R3" s="1">
        <v>2</v>
      </c>
      <c r="S3" s="1">
        <v>2</v>
      </c>
      <c r="T3" s="1">
        <v>2</v>
      </c>
    </row>
    <row r="4" spans="1:22" s="45" customFormat="1" ht="118.5" customHeight="1" x14ac:dyDescent="0.2">
      <c r="A4" s="44" t="s">
        <v>3</v>
      </c>
      <c r="B4" s="3" t="s">
        <v>110</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row>
    <row r="5" spans="1:22" x14ac:dyDescent="0.2">
      <c r="A5" s="8">
        <v>1</v>
      </c>
      <c r="B5" s="10">
        <v>0.87</v>
      </c>
      <c r="C5" s="10">
        <v>0.21999999999999997</v>
      </c>
      <c r="D5" s="10">
        <v>0.19999999999999996</v>
      </c>
      <c r="E5" s="10">
        <v>0.22999999999999998</v>
      </c>
      <c r="F5" s="10">
        <v>0.16999999999999993</v>
      </c>
      <c r="G5" s="10">
        <v>1.1499999999999999</v>
      </c>
      <c r="H5" s="10">
        <v>1.05</v>
      </c>
      <c r="I5" s="10">
        <v>0.83</v>
      </c>
      <c r="J5" s="10">
        <v>0.27</v>
      </c>
      <c r="K5" s="10">
        <v>0.38</v>
      </c>
      <c r="L5" s="10">
        <v>0.83</v>
      </c>
      <c r="M5" s="10">
        <v>0.33</v>
      </c>
      <c r="N5" s="10">
        <v>0.28000000000000003</v>
      </c>
      <c r="O5" s="10">
        <v>0.3</v>
      </c>
      <c r="P5" s="10">
        <v>0.28999999999999998</v>
      </c>
      <c r="Q5" s="10">
        <v>1.06</v>
      </c>
      <c r="R5" s="10">
        <v>1.17</v>
      </c>
      <c r="S5" s="10">
        <v>0.65</v>
      </c>
      <c r="T5" s="10">
        <v>0.92</v>
      </c>
      <c r="V5">
        <f>1205760*C5</f>
        <v>265267.19999999995</v>
      </c>
    </row>
    <row r="6" spans="1:22" x14ac:dyDescent="0.2">
      <c r="A6" s="8">
        <v>2</v>
      </c>
      <c r="B6" s="10">
        <v>1.2</v>
      </c>
      <c r="C6" s="10">
        <v>0.14999999999999991</v>
      </c>
      <c r="D6" s="10">
        <v>0.20999999999999996</v>
      </c>
      <c r="E6" s="10">
        <v>0.22999999999999998</v>
      </c>
      <c r="F6" s="10">
        <v>5.0000000000000044E-2</v>
      </c>
      <c r="G6" s="10">
        <v>0.96</v>
      </c>
      <c r="H6" s="10">
        <v>0.94</v>
      </c>
      <c r="I6" s="10">
        <v>0.66</v>
      </c>
      <c r="J6" s="10">
        <v>0.24</v>
      </c>
      <c r="K6" s="10">
        <v>0.21</v>
      </c>
      <c r="L6" s="10">
        <v>0.88</v>
      </c>
      <c r="M6" s="10">
        <v>0.28000000000000003</v>
      </c>
      <c r="N6" s="10">
        <v>0.28999999999999998</v>
      </c>
      <c r="O6" s="10">
        <v>0.28999999999999998</v>
      </c>
      <c r="P6" s="10">
        <v>0.25</v>
      </c>
      <c r="Q6" s="10">
        <v>1.1499999999999999</v>
      </c>
      <c r="R6" s="10">
        <v>1.2</v>
      </c>
      <c r="S6" s="10">
        <v>0.68</v>
      </c>
      <c r="T6" s="10">
        <v>0.71</v>
      </c>
    </row>
    <row r="7" spans="1:22" x14ac:dyDescent="0.2">
      <c r="A7" s="8">
        <v>3</v>
      </c>
      <c r="B7" s="10">
        <v>0.97</v>
      </c>
      <c r="C7" s="10">
        <v>0.37999999999999989</v>
      </c>
      <c r="D7" s="10">
        <v>0</v>
      </c>
      <c r="E7" s="10">
        <v>0.1399999999999999</v>
      </c>
      <c r="F7" s="10">
        <v>0.20999999999999996</v>
      </c>
      <c r="G7" s="10">
        <v>0.73</v>
      </c>
      <c r="H7" s="10">
        <v>1.2</v>
      </c>
      <c r="I7" s="10">
        <v>0.79</v>
      </c>
      <c r="J7" s="10">
        <v>0.28000000000000003</v>
      </c>
      <c r="K7" s="10">
        <v>0.27</v>
      </c>
      <c r="L7" s="10">
        <v>0.74</v>
      </c>
      <c r="M7" s="10">
        <v>0.15</v>
      </c>
      <c r="N7" s="10">
        <v>0.25</v>
      </c>
      <c r="O7" s="10">
        <v>0.27</v>
      </c>
      <c r="P7" s="10">
        <v>0.3</v>
      </c>
      <c r="Q7" s="10">
        <v>1.07</v>
      </c>
      <c r="R7" s="10">
        <v>1.03</v>
      </c>
      <c r="S7" s="10">
        <v>0.36</v>
      </c>
      <c r="T7" s="10">
        <v>0.88</v>
      </c>
    </row>
    <row r="8" spans="1:22" x14ac:dyDescent="0.2">
      <c r="A8" s="8">
        <v>4</v>
      </c>
      <c r="B8" s="10">
        <v>1.1000000000000001</v>
      </c>
      <c r="C8" s="10">
        <v>0.44999999999999996</v>
      </c>
      <c r="D8" s="10">
        <v>0.14999999999999991</v>
      </c>
      <c r="E8" s="10">
        <v>0.17999999999999994</v>
      </c>
      <c r="F8" s="10">
        <v>0.21999999999999997</v>
      </c>
      <c r="G8" s="10">
        <v>1.21</v>
      </c>
      <c r="H8" s="10">
        <v>0.66</v>
      </c>
      <c r="I8" s="10">
        <v>0.72</v>
      </c>
      <c r="J8" s="10">
        <v>0.18</v>
      </c>
      <c r="K8" s="10">
        <v>0.24</v>
      </c>
      <c r="L8" s="10">
        <v>0.72</v>
      </c>
      <c r="M8" s="10">
        <v>0.21</v>
      </c>
      <c r="N8" s="10">
        <v>0.2</v>
      </c>
      <c r="O8" s="10">
        <v>0.3</v>
      </c>
      <c r="P8" s="10">
        <v>0.23</v>
      </c>
      <c r="Q8" s="10">
        <v>1.23</v>
      </c>
      <c r="R8" s="10">
        <v>1.05</v>
      </c>
      <c r="S8" s="10">
        <v>0.52</v>
      </c>
      <c r="T8" s="10">
        <v>0.69</v>
      </c>
    </row>
    <row r="9" spans="1:22" x14ac:dyDescent="0.2">
      <c r="A9" s="8">
        <v>5</v>
      </c>
      <c r="B9" s="10">
        <v>0.75</v>
      </c>
      <c r="C9" s="10">
        <v>0.19999999999999996</v>
      </c>
      <c r="D9" s="10">
        <v>0.28000000000000003</v>
      </c>
      <c r="E9" s="10">
        <v>0.12000000000000011</v>
      </c>
      <c r="F9" s="10">
        <v>5.0000000000000044E-2</v>
      </c>
      <c r="G9" s="10">
        <v>1.03</v>
      </c>
      <c r="H9" s="10">
        <v>0.89</v>
      </c>
      <c r="I9" s="10">
        <v>0.88</v>
      </c>
      <c r="J9" s="10">
        <v>0.4</v>
      </c>
      <c r="K9" s="10">
        <v>0.28999999999999998</v>
      </c>
      <c r="L9" s="10">
        <v>0.63</v>
      </c>
      <c r="M9" s="10">
        <v>0.4</v>
      </c>
      <c r="N9" s="10">
        <v>0.36</v>
      </c>
      <c r="O9" s="10">
        <v>0.15</v>
      </c>
      <c r="P9" s="10">
        <v>0.19</v>
      </c>
      <c r="Q9" s="10">
        <v>0.97</v>
      </c>
      <c r="R9" s="10">
        <v>1.19</v>
      </c>
      <c r="S9" s="10">
        <v>0.75</v>
      </c>
      <c r="T9" s="10">
        <v>0.79</v>
      </c>
    </row>
    <row r="10" spans="1:22" x14ac:dyDescent="0.2">
      <c r="A10" s="8">
        <v>6</v>
      </c>
      <c r="B10" s="10">
        <v>1.1000000000000001</v>
      </c>
      <c r="C10" s="10">
        <v>0.20999999999999996</v>
      </c>
      <c r="D10" s="10">
        <v>0.35000000000000009</v>
      </c>
      <c r="E10" s="10">
        <v>0</v>
      </c>
      <c r="F10" s="10">
        <v>0.19999999999999996</v>
      </c>
      <c r="G10" s="10">
        <v>0.86</v>
      </c>
      <c r="H10" s="10">
        <v>1.07</v>
      </c>
      <c r="I10" s="10">
        <v>0.61</v>
      </c>
      <c r="J10" s="10">
        <v>0.18</v>
      </c>
      <c r="K10" s="10">
        <v>0.14000000000000001</v>
      </c>
      <c r="L10" s="10">
        <v>0.65</v>
      </c>
      <c r="M10" s="10">
        <v>0.4</v>
      </c>
      <c r="N10" s="10">
        <v>0.28999999999999998</v>
      </c>
      <c r="O10" s="10">
        <v>0.2</v>
      </c>
      <c r="P10" s="10">
        <v>0.16</v>
      </c>
      <c r="Q10" s="10">
        <v>0.92</v>
      </c>
      <c r="R10" s="10">
        <v>1.21</v>
      </c>
      <c r="S10" s="10">
        <v>0.91</v>
      </c>
      <c r="T10" s="10">
        <v>0.82</v>
      </c>
    </row>
    <row r="11" spans="1:22" x14ac:dyDescent="0.2">
      <c r="A11" s="8">
        <v>7</v>
      </c>
      <c r="B11" s="10">
        <v>0.95</v>
      </c>
      <c r="C11" s="10">
        <v>0.5</v>
      </c>
      <c r="D11" s="10">
        <v>0.37999999999999989</v>
      </c>
      <c r="E11" s="10">
        <v>0.1399999999999999</v>
      </c>
      <c r="F11" s="10">
        <v>8.0000000000000071E-2</v>
      </c>
      <c r="G11" s="10">
        <v>0.78</v>
      </c>
      <c r="H11" s="10">
        <v>0.79</v>
      </c>
      <c r="I11" s="10">
        <v>0.88</v>
      </c>
      <c r="J11" s="10">
        <v>0.39</v>
      </c>
      <c r="K11" s="10">
        <v>0.32</v>
      </c>
      <c r="L11" s="10">
        <v>0.81</v>
      </c>
      <c r="M11" s="10">
        <v>0.13</v>
      </c>
      <c r="N11" s="10">
        <v>0.1</v>
      </c>
      <c r="O11" s="10">
        <v>0.12</v>
      </c>
      <c r="P11" s="10">
        <v>0.19</v>
      </c>
      <c r="Q11" s="10">
        <v>0.91</v>
      </c>
      <c r="R11" s="10">
        <v>1.21</v>
      </c>
      <c r="S11" s="10">
        <v>0.51</v>
      </c>
      <c r="T11" s="10">
        <v>0.95</v>
      </c>
    </row>
    <row r="12" spans="1:22" x14ac:dyDescent="0.2">
      <c r="A12" s="8">
        <v>8</v>
      </c>
      <c r="B12" s="10">
        <v>1.04</v>
      </c>
      <c r="C12" s="10">
        <v>0.35000000000000009</v>
      </c>
      <c r="D12" s="10">
        <v>0.44999999999999996</v>
      </c>
      <c r="E12" s="10">
        <v>3.0000000000000027E-2</v>
      </c>
      <c r="F12" s="10">
        <v>0.16999999999999993</v>
      </c>
      <c r="G12" s="10">
        <v>1.34</v>
      </c>
      <c r="H12" s="10">
        <v>1.29</v>
      </c>
      <c r="I12" s="10">
        <v>0.6</v>
      </c>
      <c r="J12" s="10">
        <v>0.19</v>
      </c>
      <c r="K12" s="10">
        <v>0.16</v>
      </c>
      <c r="L12" s="10">
        <v>0.75</v>
      </c>
      <c r="M12" s="10">
        <v>0.13</v>
      </c>
      <c r="N12" s="10">
        <v>0.15</v>
      </c>
      <c r="O12" s="10">
        <v>0.16</v>
      </c>
      <c r="P12" s="10">
        <v>0.17</v>
      </c>
      <c r="Q12" s="10">
        <v>0.96</v>
      </c>
      <c r="R12" s="10">
        <v>0.98</v>
      </c>
      <c r="S12" s="10">
        <v>0.32</v>
      </c>
      <c r="T12" s="10">
        <v>0.98</v>
      </c>
    </row>
    <row r="13" spans="1:22" x14ac:dyDescent="0.2">
      <c r="A13" s="8">
        <v>9</v>
      </c>
      <c r="B13" s="10">
        <v>0.76</v>
      </c>
      <c r="C13" s="10">
        <v>2.0000000000000018E-2</v>
      </c>
      <c r="D13" s="10">
        <v>0.12999999999999989</v>
      </c>
      <c r="E13" s="10">
        <v>0.10000000000000009</v>
      </c>
      <c r="F13" s="10">
        <v>0.10000000000000009</v>
      </c>
      <c r="G13" s="10">
        <v>1.38</v>
      </c>
      <c r="H13" s="10">
        <v>1.18</v>
      </c>
      <c r="I13" s="10">
        <v>0.73</v>
      </c>
      <c r="J13" s="10">
        <v>0.32</v>
      </c>
      <c r="K13" s="10">
        <v>0.36</v>
      </c>
      <c r="L13" s="10">
        <v>0.82</v>
      </c>
      <c r="M13" s="10">
        <v>0.18</v>
      </c>
      <c r="N13" s="10">
        <v>0.28000000000000003</v>
      </c>
      <c r="O13" s="10">
        <v>0.15</v>
      </c>
      <c r="P13" s="10">
        <v>0.28999999999999998</v>
      </c>
      <c r="Q13" s="10">
        <v>1.1499999999999999</v>
      </c>
      <c r="R13" s="10">
        <v>1.1399999999999999</v>
      </c>
      <c r="S13" s="10">
        <v>0.98</v>
      </c>
      <c r="T13" s="10">
        <v>0.5</v>
      </c>
    </row>
    <row r="14" spans="1:22" x14ac:dyDescent="0.2">
      <c r="A14" s="8">
        <v>10</v>
      </c>
      <c r="B14" s="10">
        <v>1.24</v>
      </c>
      <c r="C14" s="10">
        <v>4.0000000000000036E-2</v>
      </c>
      <c r="D14" s="10">
        <v>0.1100000000000001</v>
      </c>
      <c r="E14" s="10">
        <v>0.12999999999999989</v>
      </c>
      <c r="F14" s="10">
        <v>6.0000000000000053E-2</v>
      </c>
      <c r="G14" s="10">
        <v>0.68</v>
      </c>
      <c r="H14" s="10">
        <v>0.76</v>
      </c>
      <c r="I14" s="10">
        <v>0.76</v>
      </c>
      <c r="J14" s="10">
        <v>0.16</v>
      </c>
      <c r="K14" s="10">
        <v>0.14000000000000001</v>
      </c>
      <c r="L14" s="10">
        <v>0.75</v>
      </c>
      <c r="M14" s="10">
        <v>0.14000000000000001</v>
      </c>
      <c r="N14" s="10">
        <v>0.31</v>
      </c>
      <c r="O14" s="10">
        <v>0.12</v>
      </c>
      <c r="P14" s="10">
        <v>0.28000000000000003</v>
      </c>
      <c r="Q14" s="10">
        <v>0.98</v>
      </c>
      <c r="R14" s="10">
        <v>1.1100000000000001</v>
      </c>
      <c r="S14" s="10">
        <v>0.77</v>
      </c>
      <c r="T14" s="10">
        <v>0.41</v>
      </c>
    </row>
    <row r="15" spans="1:22" x14ac:dyDescent="0.2">
      <c r="A15" s="8">
        <v>11</v>
      </c>
      <c r="B15" s="10">
        <v>0.77</v>
      </c>
      <c r="C15" s="10">
        <v>0.49</v>
      </c>
      <c r="D15" s="10">
        <v>0.24</v>
      </c>
      <c r="E15" s="10">
        <v>0.1399999999999999</v>
      </c>
      <c r="F15" s="10">
        <v>0.15999999999999992</v>
      </c>
      <c r="G15" s="10">
        <v>0.66</v>
      </c>
      <c r="H15" s="10">
        <v>1.22</v>
      </c>
      <c r="I15" s="10">
        <v>0.67</v>
      </c>
      <c r="J15" s="10">
        <v>0.28999999999999998</v>
      </c>
      <c r="K15" s="10">
        <v>0.35</v>
      </c>
      <c r="L15" s="10">
        <v>0.65</v>
      </c>
      <c r="M15" s="10">
        <v>0.26</v>
      </c>
      <c r="N15" s="10">
        <v>0.18</v>
      </c>
      <c r="O15" s="10">
        <v>0.15</v>
      </c>
      <c r="P15" s="10">
        <v>0.25</v>
      </c>
      <c r="Q15" s="10">
        <v>1.22</v>
      </c>
      <c r="R15" s="10">
        <v>1.1100000000000001</v>
      </c>
      <c r="S15" s="10">
        <v>0.41</v>
      </c>
      <c r="T15" s="10">
        <v>0.47</v>
      </c>
    </row>
    <row r="16" spans="1:22" x14ac:dyDescent="0.2">
      <c r="A16" s="8">
        <v>12</v>
      </c>
      <c r="B16" s="10">
        <v>1.21</v>
      </c>
      <c r="C16" s="10">
        <v>0.49</v>
      </c>
      <c r="D16" s="10">
        <v>0.12999999999999989</v>
      </c>
      <c r="E16" s="10">
        <v>0.18999999999999995</v>
      </c>
      <c r="F16" s="10">
        <v>7.0000000000000062E-2</v>
      </c>
      <c r="G16" s="10">
        <v>1.4</v>
      </c>
      <c r="H16" s="10">
        <v>1.01</v>
      </c>
      <c r="I16" s="10">
        <v>0.87</v>
      </c>
      <c r="J16" s="10">
        <v>0.18</v>
      </c>
      <c r="K16" s="10">
        <v>0.19</v>
      </c>
      <c r="L16" s="10">
        <v>0.67</v>
      </c>
      <c r="M16" s="10">
        <v>0.3</v>
      </c>
      <c r="N16" s="10">
        <v>0.18</v>
      </c>
      <c r="O16" s="10">
        <v>0.19</v>
      </c>
      <c r="P16" s="10">
        <v>0.27</v>
      </c>
      <c r="Q16" s="10">
        <v>1.02</v>
      </c>
      <c r="R16" s="10">
        <v>1.04</v>
      </c>
      <c r="S16" s="10">
        <v>0.4</v>
      </c>
      <c r="T16" s="10">
        <v>0.4</v>
      </c>
    </row>
    <row r="17" spans="1:20" x14ac:dyDescent="0.2">
      <c r="A17" s="8">
        <v>13</v>
      </c>
      <c r="B17" s="10">
        <v>0.99</v>
      </c>
      <c r="C17" s="10">
        <v>0.12999999999999989</v>
      </c>
      <c r="D17" s="10">
        <v>0.48</v>
      </c>
      <c r="E17" s="10">
        <v>9.000000000000008E-2</v>
      </c>
      <c r="F17" s="10">
        <v>0.19999999999999996</v>
      </c>
      <c r="G17" s="10">
        <v>1.18</v>
      </c>
      <c r="H17" s="10">
        <v>0.64</v>
      </c>
      <c r="I17" s="10">
        <v>0.71</v>
      </c>
      <c r="J17" s="10">
        <v>0.3</v>
      </c>
      <c r="K17" s="10">
        <v>0.37</v>
      </c>
      <c r="L17" s="10">
        <v>0.6</v>
      </c>
      <c r="M17" s="10">
        <v>0.16</v>
      </c>
      <c r="N17" s="10">
        <v>0.37</v>
      </c>
      <c r="O17" s="10">
        <v>0.25</v>
      </c>
      <c r="P17" s="10">
        <v>0.16</v>
      </c>
      <c r="Q17" s="10">
        <v>0.8</v>
      </c>
      <c r="R17" s="10">
        <v>1.1299999999999999</v>
      </c>
      <c r="S17" s="10">
        <v>0.87</v>
      </c>
      <c r="T17" s="10">
        <v>0.6</v>
      </c>
    </row>
    <row r="18" spans="1:20" x14ac:dyDescent="0.2">
      <c r="A18" s="8">
        <v>14</v>
      </c>
      <c r="B18" s="10">
        <v>1.1299999999999999</v>
      </c>
      <c r="C18" s="10">
        <v>0.1100000000000001</v>
      </c>
      <c r="D18" s="10">
        <v>0.45999999999999996</v>
      </c>
      <c r="E18" s="10">
        <v>0.17999999999999994</v>
      </c>
      <c r="F18" s="10">
        <v>4.0000000000000036E-2</v>
      </c>
      <c r="G18" s="10">
        <v>0.79</v>
      </c>
      <c r="H18" s="10">
        <v>1.33</v>
      </c>
      <c r="I18" s="10">
        <v>0.76</v>
      </c>
      <c r="J18" s="10">
        <v>0.16</v>
      </c>
      <c r="K18" s="10">
        <v>0.22</v>
      </c>
      <c r="L18" s="10">
        <v>0.6</v>
      </c>
      <c r="M18" s="10">
        <v>0.2</v>
      </c>
      <c r="N18" s="10">
        <v>0.35</v>
      </c>
      <c r="O18" s="10">
        <v>0.28999999999999998</v>
      </c>
      <c r="P18" s="10">
        <v>0.17</v>
      </c>
      <c r="Q18" s="10">
        <v>0.86</v>
      </c>
      <c r="R18" s="10">
        <v>1.0900000000000001</v>
      </c>
      <c r="S18" s="10">
        <v>0.61</v>
      </c>
      <c r="T18" s="10">
        <v>0.62</v>
      </c>
    </row>
    <row r="19" spans="1:20" x14ac:dyDescent="0.2">
      <c r="A19" s="8">
        <v>15</v>
      </c>
      <c r="B19" s="10">
        <v>0.88</v>
      </c>
      <c r="C19" s="10">
        <v>0.26</v>
      </c>
      <c r="D19" s="10">
        <v>0.49</v>
      </c>
      <c r="E19" s="10">
        <v>0.1100000000000001</v>
      </c>
      <c r="F19" s="10">
        <v>0.22999999999999998</v>
      </c>
      <c r="G19" s="10">
        <v>0.77</v>
      </c>
      <c r="H19" s="10">
        <v>0.63</v>
      </c>
      <c r="I19" s="10">
        <v>0.64</v>
      </c>
      <c r="J19" s="10">
        <v>0.4</v>
      </c>
      <c r="K19" s="10">
        <v>0.34</v>
      </c>
      <c r="L19" s="10">
        <v>0.85</v>
      </c>
      <c r="M19" s="10">
        <v>0.33</v>
      </c>
      <c r="N19" s="10">
        <v>0.17</v>
      </c>
      <c r="O19" s="10">
        <v>0.2</v>
      </c>
      <c r="P19" s="10">
        <v>0.16</v>
      </c>
      <c r="Q19" s="10">
        <v>0.79</v>
      </c>
      <c r="R19" s="10">
        <v>1.06</v>
      </c>
      <c r="S19" s="10">
        <v>0.33</v>
      </c>
      <c r="T19" s="10">
        <v>0.36</v>
      </c>
    </row>
    <row r="20" spans="1:20" x14ac:dyDescent="0.2">
      <c r="A20" s="8">
        <v>16</v>
      </c>
      <c r="B20" s="10">
        <v>1.1399999999999999</v>
      </c>
      <c r="C20" s="10">
        <v>0.37999999999999989</v>
      </c>
      <c r="D20" s="10">
        <v>0.49</v>
      </c>
      <c r="E20" s="10">
        <v>2.0000000000000018E-2</v>
      </c>
      <c r="F20" s="10">
        <v>9.000000000000008E-2</v>
      </c>
      <c r="G20" s="10">
        <v>1.01</v>
      </c>
      <c r="H20" s="10">
        <v>1.38</v>
      </c>
      <c r="I20" s="10">
        <v>0.82</v>
      </c>
      <c r="J20" s="10">
        <v>0.17</v>
      </c>
      <c r="K20" s="10">
        <v>0.23</v>
      </c>
      <c r="L20" s="10">
        <v>0.89</v>
      </c>
      <c r="M20" s="10">
        <v>0.28999999999999998</v>
      </c>
      <c r="N20" s="10">
        <v>0.2</v>
      </c>
      <c r="O20" s="10">
        <v>0.22</v>
      </c>
      <c r="P20" s="10">
        <v>0.15</v>
      </c>
      <c r="Q20" s="10">
        <v>0.79</v>
      </c>
      <c r="R20" s="10">
        <v>1.24</v>
      </c>
      <c r="S20" s="10">
        <v>0.53</v>
      </c>
      <c r="T20" s="10">
        <v>0.68</v>
      </c>
    </row>
    <row r="21" spans="1:20" x14ac:dyDescent="0.2">
      <c r="A21" s="8">
        <v>17</v>
      </c>
      <c r="B21" s="10">
        <v>0.86</v>
      </c>
      <c r="C21" s="10">
        <v>9.000000000000008E-2</v>
      </c>
      <c r="D21" s="10">
        <v>0.10000000000000009</v>
      </c>
      <c r="E21" s="10">
        <v>0.37000000000000011</v>
      </c>
      <c r="F21" s="10">
        <v>2.0000000000000018E-2</v>
      </c>
      <c r="G21" s="10">
        <v>1.1599999999999999</v>
      </c>
      <c r="H21" s="10">
        <v>1.1499999999999999</v>
      </c>
      <c r="I21" s="10">
        <v>0.75</v>
      </c>
      <c r="J21" s="10">
        <v>0.16</v>
      </c>
      <c r="K21" s="10">
        <v>0.28000000000000003</v>
      </c>
      <c r="L21" s="10">
        <v>0.79</v>
      </c>
      <c r="M21" s="10">
        <v>0.28000000000000003</v>
      </c>
      <c r="N21" s="10">
        <v>0.16</v>
      </c>
      <c r="O21" s="10">
        <v>0.3</v>
      </c>
      <c r="P21" s="10">
        <v>0.11</v>
      </c>
      <c r="Q21" s="10">
        <v>1.1399999999999999</v>
      </c>
      <c r="R21" s="10">
        <v>0.79</v>
      </c>
      <c r="S21" s="10">
        <v>0.92</v>
      </c>
      <c r="T21" s="10">
        <v>0.87</v>
      </c>
    </row>
    <row r="22" spans="1:20" x14ac:dyDescent="0.2">
      <c r="A22" s="8">
        <v>18</v>
      </c>
      <c r="B22" s="10">
        <v>1.23</v>
      </c>
      <c r="C22" s="10">
        <v>0.17999999999999994</v>
      </c>
      <c r="D22" s="10">
        <v>0.12999999999999989</v>
      </c>
      <c r="E22" s="10">
        <v>0.3899999999999999</v>
      </c>
      <c r="F22" s="10">
        <v>0.20999999999999996</v>
      </c>
      <c r="G22" s="10">
        <v>0.76</v>
      </c>
      <c r="H22" s="10">
        <v>0.72</v>
      </c>
      <c r="I22" s="10">
        <v>0.74</v>
      </c>
      <c r="J22" s="10">
        <v>0.32</v>
      </c>
      <c r="K22" s="10">
        <v>0.11</v>
      </c>
      <c r="L22" s="10">
        <v>0.78</v>
      </c>
      <c r="M22" s="10">
        <v>0.32</v>
      </c>
      <c r="N22" s="10">
        <v>0.23</v>
      </c>
      <c r="O22" s="10">
        <v>0.22</v>
      </c>
      <c r="P22" s="10">
        <v>0.12</v>
      </c>
      <c r="Q22" s="10">
        <v>1.0900000000000001</v>
      </c>
      <c r="R22" s="10">
        <v>0.99</v>
      </c>
      <c r="S22" s="10">
        <v>0.83</v>
      </c>
      <c r="T22" s="10">
        <v>0.96</v>
      </c>
    </row>
    <row r="23" spans="1:20" x14ac:dyDescent="0.2">
      <c r="A23" s="8">
        <v>19</v>
      </c>
      <c r="B23" s="10">
        <v>0.84</v>
      </c>
      <c r="C23" s="10">
        <v>0.3899999999999999</v>
      </c>
      <c r="D23" s="10">
        <v>0.1399999999999999</v>
      </c>
      <c r="E23" s="10">
        <v>0.26</v>
      </c>
      <c r="F23" s="10">
        <v>0.1100000000000001</v>
      </c>
      <c r="G23" s="10">
        <v>0.63</v>
      </c>
      <c r="H23" s="10">
        <v>1.1399999999999999</v>
      </c>
      <c r="I23" s="10">
        <v>0.76</v>
      </c>
      <c r="J23" s="10">
        <v>0.17</v>
      </c>
      <c r="K23" s="10">
        <v>0.38</v>
      </c>
      <c r="L23" s="10">
        <v>0.69</v>
      </c>
      <c r="M23" s="10">
        <v>0.25</v>
      </c>
      <c r="N23" s="10">
        <v>0.31</v>
      </c>
      <c r="O23" s="10">
        <v>0.28999999999999998</v>
      </c>
      <c r="P23" s="10">
        <v>0.11</v>
      </c>
      <c r="Q23" s="10">
        <v>1.0900000000000001</v>
      </c>
      <c r="R23" s="10">
        <v>0.78</v>
      </c>
      <c r="S23" s="10">
        <v>0.56000000000000005</v>
      </c>
      <c r="T23" s="10">
        <v>0.54</v>
      </c>
    </row>
    <row r="24" spans="1:20" x14ac:dyDescent="0.2">
      <c r="A24" s="8">
        <v>20</v>
      </c>
      <c r="B24" s="10">
        <v>1.07</v>
      </c>
      <c r="C24" s="10">
        <v>0.48</v>
      </c>
      <c r="D24" s="10">
        <v>0.18999999999999995</v>
      </c>
      <c r="E24" s="10">
        <v>0.37999999999999989</v>
      </c>
      <c r="F24" s="10">
        <v>6.0000000000000053E-2</v>
      </c>
      <c r="G24" s="10">
        <v>1.24</v>
      </c>
      <c r="H24" s="10">
        <v>0.88</v>
      </c>
      <c r="I24" s="10">
        <v>0.65</v>
      </c>
      <c r="J24" s="10">
        <v>0.26</v>
      </c>
      <c r="K24" s="10">
        <v>0.17</v>
      </c>
      <c r="L24" s="10">
        <v>0.62</v>
      </c>
      <c r="M24" s="10">
        <v>0.24</v>
      </c>
      <c r="N24" s="10">
        <v>0.3</v>
      </c>
      <c r="O24" s="10">
        <v>0.22</v>
      </c>
      <c r="P24" s="10">
        <v>0.1</v>
      </c>
      <c r="Q24" s="10">
        <v>1.05</v>
      </c>
      <c r="R24" s="10">
        <v>0.93</v>
      </c>
      <c r="S24" s="10">
        <v>0.28999999999999998</v>
      </c>
      <c r="T24" s="10">
        <v>0.64</v>
      </c>
    </row>
    <row r="25" spans="1:20" x14ac:dyDescent="0.2">
      <c r="A25" s="8">
        <v>21</v>
      </c>
      <c r="B25" s="10">
        <v>0.89</v>
      </c>
      <c r="C25" s="10">
        <v>0.10000000000000009</v>
      </c>
      <c r="D25" s="10">
        <v>0.40999999999999992</v>
      </c>
      <c r="E25" s="10">
        <v>0.48</v>
      </c>
      <c r="F25" s="10">
        <v>0.25</v>
      </c>
      <c r="G25" s="10">
        <v>1.1299999999999999</v>
      </c>
      <c r="H25" s="10">
        <v>0.84</v>
      </c>
      <c r="I25" s="10">
        <v>0.9</v>
      </c>
      <c r="J25" s="10">
        <v>0.13</v>
      </c>
      <c r="K25" s="10">
        <v>0.28999999999999998</v>
      </c>
      <c r="L25" s="10">
        <v>0.65</v>
      </c>
      <c r="M25" s="10">
        <v>0.39</v>
      </c>
      <c r="N25" s="10">
        <v>0.1</v>
      </c>
      <c r="O25" s="10">
        <v>0.19</v>
      </c>
      <c r="P25" s="10">
        <v>0.26</v>
      </c>
      <c r="Q25" s="10">
        <v>0.79</v>
      </c>
      <c r="R25" s="10">
        <v>0.8</v>
      </c>
      <c r="S25" s="10">
        <v>0.75</v>
      </c>
      <c r="T25" s="10">
        <v>0.99</v>
      </c>
    </row>
    <row r="26" spans="1:20" x14ac:dyDescent="0.2">
      <c r="A26" s="8">
        <v>22</v>
      </c>
      <c r="B26" s="10">
        <v>1.06</v>
      </c>
      <c r="C26" s="10">
        <v>0.12999999999999989</v>
      </c>
      <c r="D26" s="10">
        <v>0.32000000000000006</v>
      </c>
      <c r="E26" s="10">
        <v>0.45999999999999996</v>
      </c>
      <c r="F26" s="10">
        <v>0.18999999999999995</v>
      </c>
      <c r="G26" s="10">
        <v>0.7</v>
      </c>
      <c r="H26" s="10">
        <v>1.29</v>
      </c>
      <c r="I26" s="10">
        <v>0.68</v>
      </c>
      <c r="J26" s="10">
        <v>0.39</v>
      </c>
      <c r="K26" s="10">
        <v>0.27</v>
      </c>
      <c r="L26" s="10">
        <v>0.61</v>
      </c>
      <c r="M26" s="10">
        <v>0.27</v>
      </c>
      <c r="N26" s="10">
        <v>0.1</v>
      </c>
      <c r="O26" s="10">
        <v>0.13</v>
      </c>
      <c r="P26" s="10">
        <v>0.21</v>
      </c>
      <c r="Q26" s="10">
        <v>0.94</v>
      </c>
      <c r="R26" s="10">
        <v>0.84</v>
      </c>
      <c r="S26" s="10">
        <v>0.71</v>
      </c>
      <c r="T26" s="10">
        <v>0.91</v>
      </c>
    </row>
    <row r="27" spans="1:20" x14ac:dyDescent="0.2">
      <c r="A27" s="8">
        <v>23</v>
      </c>
      <c r="B27" s="10">
        <v>0.85</v>
      </c>
      <c r="C27" s="10">
        <v>0.3600000000000001</v>
      </c>
      <c r="D27" s="10">
        <v>0.3899999999999999</v>
      </c>
      <c r="E27" s="10">
        <v>0.49</v>
      </c>
      <c r="F27" s="10">
        <v>0.15999999999999992</v>
      </c>
      <c r="G27" s="10">
        <v>0.88</v>
      </c>
      <c r="H27" s="10">
        <v>0.64</v>
      </c>
      <c r="I27" s="10">
        <v>0.88</v>
      </c>
      <c r="J27" s="10">
        <v>0.11</v>
      </c>
      <c r="K27" s="10">
        <v>0.36</v>
      </c>
      <c r="L27" s="10">
        <v>0.84</v>
      </c>
      <c r="M27" s="10">
        <v>0.11</v>
      </c>
      <c r="N27" s="10">
        <v>0.37</v>
      </c>
      <c r="O27" s="10">
        <v>0.18</v>
      </c>
      <c r="P27" s="10">
        <v>0.26</v>
      </c>
      <c r="Q27" s="10">
        <v>1.02</v>
      </c>
      <c r="R27" s="10">
        <v>0.83</v>
      </c>
      <c r="S27" s="10">
        <v>0.44</v>
      </c>
      <c r="T27" s="10">
        <v>0.86</v>
      </c>
    </row>
    <row r="28" spans="1:20" x14ac:dyDescent="0.2">
      <c r="A28" s="8">
        <v>24</v>
      </c>
      <c r="B28" s="10">
        <v>1.1200000000000001</v>
      </c>
      <c r="C28" s="10">
        <v>0.31000000000000005</v>
      </c>
      <c r="D28" s="10">
        <v>0.48</v>
      </c>
      <c r="E28" s="10">
        <v>0.49</v>
      </c>
      <c r="F28" s="10">
        <v>9.000000000000008E-2</v>
      </c>
      <c r="G28" s="10">
        <v>1.1000000000000001</v>
      </c>
      <c r="H28" s="10">
        <v>1.25</v>
      </c>
      <c r="I28" s="10">
        <v>0.68</v>
      </c>
      <c r="J28" s="10">
        <v>0.4</v>
      </c>
      <c r="K28" s="10">
        <v>0.22</v>
      </c>
      <c r="L28" s="10">
        <v>0.79</v>
      </c>
      <c r="M28" s="10">
        <v>0.14000000000000001</v>
      </c>
      <c r="N28" s="10">
        <v>0.38</v>
      </c>
      <c r="O28" s="10">
        <v>0.16</v>
      </c>
      <c r="P28" s="10">
        <v>0.23</v>
      </c>
      <c r="Q28" s="10">
        <v>0.87</v>
      </c>
      <c r="R28" s="10">
        <v>0.76</v>
      </c>
      <c r="S28" s="10">
        <v>0.57999999999999996</v>
      </c>
      <c r="T28" s="10">
        <v>0.73</v>
      </c>
    </row>
    <row r="29" spans="1:20" x14ac:dyDescent="0.2">
      <c r="A29" s="8">
        <v>25</v>
      </c>
      <c r="B29" s="10">
        <v>0.89</v>
      </c>
      <c r="C29" s="10">
        <v>0.12000000000000011</v>
      </c>
      <c r="D29" s="10">
        <v>0.22999999999999998</v>
      </c>
      <c r="E29" s="10">
        <v>0.30000000000000004</v>
      </c>
      <c r="F29" s="10">
        <v>0.15999999999999992</v>
      </c>
      <c r="G29" s="10">
        <v>1.39</v>
      </c>
      <c r="H29" s="10">
        <v>0.98</v>
      </c>
      <c r="I29" s="10">
        <v>0.68</v>
      </c>
      <c r="J29" s="10">
        <v>0.23</v>
      </c>
      <c r="K29" s="10">
        <v>0.35</v>
      </c>
      <c r="L29" s="10">
        <v>0.76</v>
      </c>
      <c r="M29" s="10">
        <v>0.23</v>
      </c>
      <c r="N29" s="10">
        <v>0.18</v>
      </c>
      <c r="O29" s="10">
        <v>0.12</v>
      </c>
      <c r="P29" s="10">
        <v>0.11</v>
      </c>
      <c r="Q29" s="10">
        <v>1.1599999999999999</v>
      </c>
      <c r="R29" s="10">
        <v>0.92</v>
      </c>
      <c r="S29" s="10">
        <v>0.94</v>
      </c>
      <c r="T29" s="10">
        <v>0.35</v>
      </c>
    </row>
    <row r="30" spans="1:20" x14ac:dyDescent="0.2">
      <c r="A30" s="8">
        <v>26</v>
      </c>
      <c r="B30" s="10">
        <v>1.22</v>
      </c>
      <c r="C30" s="10">
        <v>0</v>
      </c>
      <c r="D30" s="10">
        <v>0.22999999999999998</v>
      </c>
      <c r="E30" s="10">
        <v>0.29000000000000004</v>
      </c>
      <c r="F30" s="10">
        <v>7.0000000000000062E-2</v>
      </c>
      <c r="G30" s="10">
        <v>0.83</v>
      </c>
      <c r="H30" s="10">
        <v>0.91</v>
      </c>
      <c r="I30" s="10">
        <v>0.84</v>
      </c>
      <c r="J30" s="10">
        <v>0.28999999999999998</v>
      </c>
      <c r="K30" s="10">
        <v>0.19</v>
      </c>
      <c r="L30" s="10">
        <v>0.8</v>
      </c>
      <c r="M30" s="10">
        <v>0.2</v>
      </c>
      <c r="N30" s="10">
        <v>0.11</v>
      </c>
      <c r="O30" s="10">
        <v>0.14000000000000001</v>
      </c>
      <c r="P30" s="10">
        <v>0.18</v>
      </c>
      <c r="Q30" s="10">
        <v>1.2</v>
      </c>
      <c r="R30" s="10">
        <v>0.82</v>
      </c>
      <c r="S30" s="10">
        <v>0.95</v>
      </c>
      <c r="T30" s="10">
        <v>0.53</v>
      </c>
    </row>
    <row r="31" spans="1:20" x14ac:dyDescent="0.2">
      <c r="A31" s="8">
        <v>27</v>
      </c>
      <c r="B31" s="10">
        <v>0.87</v>
      </c>
      <c r="C31" s="10">
        <v>0.3600000000000001</v>
      </c>
      <c r="D31" s="10">
        <v>0.1399999999999999</v>
      </c>
      <c r="E31" s="10">
        <v>0.5</v>
      </c>
      <c r="F31" s="10">
        <v>3.0000000000000027E-2</v>
      </c>
      <c r="G31" s="10">
        <v>0.69</v>
      </c>
      <c r="H31" s="10">
        <v>1.08</v>
      </c>
      <c r="I31" s="10">
        <v>0.69</v>
      </c>
      <c r="J31" s="10">
        <v>0.19</v>
      </c>
      <c r="K31" s="10">
        <v>0.35</v>
      </c>
      <c r="L31" s="10">
        <v>0.74</v>
      </c>
      <c r="M31" s="10">
        <v>0.31</v>
      </c>
      <c r="N31" s="10">
        <v>0.25</v>
      </c>
      <c r="O31" s="10">
        <v>0.13</v>
      </c>
      <c r="P31" s="10">
        <v>0.18</v>
      </c>
      <c r="Q31" s="10">
        <v>1.04</v>
      </c>
      <c r="R31" s="10">
        <v>1</v>
      </c>
      <c r="S31" s="10">
        <v>0.35</v>
      </c>
      <c r="T31" s="10">
        <v>0.42</v>
      </c>
    </row>
    <row r="32" spans="1:20" x14ac:dyDescent="0.2">
      <c r="A32" s="8">
        <v>28</v>
      </c>
      <c r="B32" s="10">
        <v>1.25</v>
      </c>
      <c r="C32" s="10">
        <v>0.47</v>
      </c>
      <c r="D32" s="10">
        <v>0.17999999999999994</v>
      </c>
      <c r="E32" s="10">
        <v>0.35000000000000009</v>
      </c>
      <c r="F32" s="10">
        <v>8.0000000000000071E-2</v>
      </c>
      <c r="G32" s="10">
        <v>1.2</v>
      </c>
      <c r="H32" s="10">
        <v>0.83</v>
      </c>
      <c r="I32" s="10">
        <v>0.78</v>
      </c>
      <c r="J32" s="10">
        <v>0.39</v>
      </c>
      <c r="K32" s="10">
        <v>0.12</v>
      </c>
      <c r="L32" s="10">
        <v>0.69</v>
      </c>
      <c r="M32" s="10">
        <v>0.34</v>
      </c>
      <c r="N32" s="10">
        <v>0.28000000000000003</v>
      </c>
      <c r="O32" s="10">
        <v>0.11</v>
      </c>
      <c r="P32" s="10">
        <v>0.2</v>
      </c>
      <c r="Q32" s="10">
        <v>1.1100000000000001</v>
      </c>
      <c r="R32" s="10">
        <v>0.86</v>
      </c>
      <c r="S32" s="10">
        <v>0.48</v>
      </c>
      <c r="T32" s="10">
        <v>0.57999999999999996</v>
      </c>
    </row>
    <row r="33" spans="1:20" x14ac:dyDescent="0.2">
      <c r="A33" s="8">
        <v>29</v>
      </c>
      <c r="B33" s="10">
        <v>0.89</v>
      </c>
      <c r="C33" s="10">
        <v>0.22999999999999998</v>
      </c>
      <c r="D33" s="10">
        <v>0.37999999999999989</v>
      </c>
      <c r="E33" s="10">
        <v>0.28000000000000003</v>
      </c>
      <c r="F33" s="10">
        <v>0.17999999999999994</v>
      </c>
      <c r="G33" s="10">
        <v>1.03</v>
      </c>
      <c r="H33" s="10">
        <v>0.6</v>
      </c>
      <c r="I33" s="10">
        <v>0.71</v>
      </c>
      <c r="J33" s="10">
        <v>0.19</v>
      </c>
      <c r="K33" s="10">
        <v>0.24</v>
      </c>
      <c r="L33" s="10">
        <v>0.61</v>
      </c>
      <c r="M33" s="10">
        <v>0.12</v>
      </c>
      <c r="N33" s="10">
        <v>0.11</v>
      </c>
      <c r="O33" s="10">
        <v>0.23</v>
      </c>
      <c r="P33" s="10">
        <v>0.25</v>
      </c>
      <c r="Q33" s="10">
        <v>0.81</v>
      </c>
      <c r="R33" s="10">
        <v>0.97</v>
      </c>
      <c r="S33" s="10">
        <v>0.91</v>
      </c>
      <c r="T33" s="10">
        <v>0.31</v>
      </c>
    </row>
    <row r="34" spans="1:20" x14ac:dyDescent="0.2">
      <c r="A34" s="8">
        <v>30</v>
      </c>
      <c r="B34" s="10">
        <v>1.07</v>
      </c>
      <c r="C34" s="10">
        <v>0.22999999999999998</v>
      </c>
      <c r="D34" s="10">
        <v>0.5</v>
      </c>
      <c r="E34" s="10">
        <v>0.35000000000000009</v>
      </c>
      <c r="F34" s="10">
        <v>0.24</v>
      </c>
      <c r="G34" s="10">
        <v>0.94</v>
      </c>
      <c r="H34" s="10">
        <v>1.19</v>
      </c>
      <c r="I34" s="10">
        <v>0.87</v>
      </c>
      <c r="J34" s="10">
        <v>0.27</v>
      </c>
      <c r="K34" s="10">
        <v>0.21</v>
      </c>
      <c r="L34" s="10">
        <v>0.69</v>
      </c>
      <c r="M34" s="10">
        <v>0.14000000000000001</v>
      </c>
      <c r="N34" s="10">
        <v>0.21</v>
      </c>
      <c r="O34" s="10">
        <v>0.24</v>
      </c>
      <c r="P34" s="10">
        <v>0.3</v>
      </c>
      <c r="Q34" s="10">
        <v>0.77</v>
      </c>
      <c r="R34" s="10">
        <v>0.93</v>
      </c>
      <c r="S34" s="10">
        <v>0.88</v>
      </c>
      <c r="T34" s="10">
        <v>0.48</v>
      </c>
    </row>
    <row r="35" spans="1:20" x14ac:dyDescent="0.2">
      <c r="A35" s="8">
        <v>31</v>
      </c>
      <c r="B35" s="10">
        <v>0.98</v>
      </c>
      <c r="C35" s="10">
        <v>0.3600000000000001</v>
      </c>
      <c r="D35" s="10">
        <v>0.3600000000000001</v>
      </c>
      <c r="E35" s="10">
        <v>0.37999999999999989</v>
      </c>
      <c r="F35" s="10">
        <v>4.0000000000000036E-2</v>
      </c>
      <c r="G35" s="10">
        <v>0.91</v>
      </c>
      <c r="H35" s="10">
        <v>0.63</v>
      </c>
      <c r="I35" s="10">
        <v>0.6</v>
      </c>
      <c r="J35" s="10">
        <v>0.14000000000000001</v>
      </c>
      <c r="K35" s="10">
        <v>0.36</v>
      </c>
      <c r="L35" s="10">
        <v>0.88</v>
      </c>
      <c r="M35" s="10">
        <v>0.34</v>
      </c>
      <c r="N35" s="10">
        <v>0.26</v>
      </c>
      <c r="O35" s="10">
        <v>0.23</v>
      </c>
      <c r="P35" s="10">
        <v>0.21</v>
      </c>
      <c r="Q35" s="10">
        <v>0.78</v>
      </c>
      <c r="R35" s="10">
        <v>0.84</v>
      </c>
      <c r="S35" s="10">
        <v>0.61</v>
      </c>
      <c r="T35" s="10">
        <v>0.64</v>
      </c>
    </row>
    <row r="36" spans="1:20" x14ac:dyDescent="0.2">
      <c r="A36" s="8">
        <v>32</v>
      </c>
      <c r="B36" s="10">
        <v>1.02</v>
      </c>
      <c r="C36" s="10">
        <v>0.32000000000000006</v>
      </c>
      <c r="D36" s="10">
        <v>0.47</v>
      </c>
      <c r="E36" s="10">
        <v>0.44999999999999996</v>
      </c>
      <c r="F36" s="10">
        <v>7.0000000000000062E-2</v>
      </c>
      <c r="G36" s="10">
        <v>1.19</v>
      </c>
      <c r="H36" s="10">
        <v>1.1299999999999999</v>
      </c>
      <c r="I36" s="10">
        <v>0.83</v>
      </c>
      <c r="J36" s="10">
        <v>0.33</v>
      </c>
      <c r="K36" s="10">
        <v>0.11</v>
      </c>
      <c r="L36" s="10">
        <v>0.82</v>
      </c>
      <c r="M36" s="10">
        <v>0.31</v>
      </c>
      <c r="N36" s="10">
        <v>0.3</v>
      </c>
      <c r="O36" s="10">
        <v>0.24</v>
      </c>
      <c r="P36" s="10">
        <v>0.25</v>
      </c>
      <c r="Q36" s="10">
        <v>0.88</v>
      </c>
      <c r="R36" s="10">
        <v>0.95</v>
      </c>
      <c r="S36" s="10">
        <v>0.47</v>
      </c>
      <c r="T36" s="10">
        <v>0.28000000000000003</v>
      </c>
    </row>
    <row r="37" spans="1:20" x14ac:dyDescent="0.2">
      <c r="A37" s="8">
        <v>33</v>
      </c>
      <c r="B37" s="10">
        <v>0.79</v>
      </c>
      <c r="C37" s="10">
        <v>0.17999999999999994</v>
      </c>
      <c r="D37" s="10">
        <v>0.15999999999999992</v>
      </c>
      <c r="E37" s="10">
        <v>0.16999999999999993</v>
      </c>
      <c r="F37" s="10">
        <v>0.27</v>
      </c>
      <c r="G37" s="10">
        <v>0.99</v>
      </c>
      <c r="H37" s="10">
        <v>1.33</v>
      </c>
      <c r="I37" s="10">
        <v>0.77</v>
      </c>
      <c r="J37" s="10">
        <v>0.37</v>
      </c>
      <c r="K37" s="10">
        <v>0.25</v>
      </c>
      <c r="L37" s="10">
        <v>0.87</v>
      </c>
      <c r="M37" s="10">
        <v>0.32</v>
      </c>
      <c r="N37" s="10">
        <v>0.27</v>
      </c>
      <c r="O37" s="10">
        <v>0.27</v>
      </c>
      <c r="P37" s="10">
        <v>0.23</v>
      </c>
      <c r="Q37" s="10">
        <v>0.8</v>
      </c>
      <c r="R37" s="10">
        <v>0.77</v>
      </c>
      <c r="S37" s="10">
        <v>0.55000000000000004</v>
      </c>
      <c r="T37" s="10">
        <v>0.25</v>
      </c>
    </row>
    <row r="38" spans="1:20" x14ac:dyDescent="0.2">
      <c r="A38" s="8">
        <v>34</v>
      </c>
      <c r="B38" s="10">
        <v>1.18</v>
      </c>
      <c r="C38" s="10">
        <v>0.24</v>
      </c>
      <c r="D38" s="10">
        <v>7.0000000000000062E-2</v>
      </c>
      <c r="E38" s="10">
        <v>5.0000000000000044E-2</v>
      </c>
      <c r="F38" s="10">
        <v>0.27</v>
      </c>
      <c r="G38" s="10">
        <v>0.92</v>
      </c>
      <c r="H38" s="10">
        <v>0.9</v>
      </c>
      <c r="I38" s="10">
        <v>0.61</v>
      </c>
      <c r="J38" s="10">
        <v>0.2</v>
      </c>
      <c r="K38" s="10">
        <v>0.26</v>
      </c>
      <c r="L38" s="10">
        <v>0.87</v>
      </c>
      <c r="M38" s="10">
        <v>0.39</v>
      </c>
      <c r="N38" s="10">
        <v>0.24</v>
      </c>
      <c r="O38" s="10">
        <v>0.23</v>
      </c>
      <c r="P38" s="10">
        <v>0.27</v>
      </c>
      <c r="Q38" s="10">
        <v>0.84</v>
      </c>
      <c r="R38" s="10">
        <v>0.88</v>
      </c>
      <c r="S38" s="10">
        <v>0.49</v>
      </c>
      <c r="T38" s="10">
        <v>0.53</v>
      </c>
    </row>
    <row r="39" spans="1:20" x14ac:dyDescent="0.2">
      <c r="A39" s="8">
        <v>35</v>
      </c>
      <c r="B39" s="10">
        <v>0.93</v>
      </c>
      <c r="C39" s="10">
        <v>0.45999999999999996</v>
      </c>
      <c r="D39" s="10">
        <v>3.0000000000000027E-2</v>
      </c>
      <c r="E39" s="10">
        <v>0.20999999999999996</v>
      </c>
      <c r="F39" s="10">
        <v>0.3600000000000001</v>
      </c>
      <c r="G39" s="10">
        <v>0.72</v>
      </c>
      <c r="H39" s="10">
        <v>1.35</v>
      </c>
      <c r="I39" s="10">
        <v>0.85</v>
      </c>
      <c r="J39" s="10">
        <v>0.26</v>
      </c>
      <c r="K39" s="10">
        <v>0.22</v>
      </c>
      <c r="L39" s="10">
        <v>0.67</v>
      </c>
      <c r="M39" s="10">
        <v>0.2</v>
      </c>
      <c r="N39" s="10">
        <v>0.14000000000000001</v>
      </c>
      <c r="O39" s="10">
        <v>0.23</v>
      </c>
      <c r="P39" s="10">
        <v>0.22</v>
      </c>
      <c r="Q39" s="10">
        <v>0.82</v>
      </c>
      <c r="R39" s="10">
        <v>0.91</v>
      </c>
      <c r="S39" s="10">
        <v>0.66</v>
      </c>
      <c r="T39" s="10">
        <v>0.44</v>
      </c>
    </row>
    <row r="40" spans="1:20" x14ac:dyDescent="0.2">
      <c r="A40" s="8">
        <v>36</v>
      </c>
      <c r="B40" s="10">
        <v>1.01</v>
      </c>
      <c r="C40" s="10">
        <v>0.42999999999999994</v>
      </c>
      <c r="D40" s="10">
        <v>8.0000000000000071E-2</v>
      </c>
      <c r="E40" s="10">
        <v>0.21999999999999997</v>
      </c>
      <c r="F40" s="10">
        <v>0.32000000000000006</v>
      </c>
      <c r="G40" s="10">
        <v>1.36</v>
      </c>
      <c r="H40" s="10">
        <v>0.69</v>
      </c>
      <c r="I40" s="10">
        <v>0.64</v>
      </c>
      <c r="J40" s="10">
        <v>0.22</v>
      </c>
      <c r="K40" s="10">
        <v>0.34</v>
      </c>
      <c r="L40" s="10">
        <v>0.68</v>
      </c>
      <c r="M40" s="10">
        <v>0.14000000000000001</v>
      </c>
      <c r="N40" s="10">
        <v>0.16</v>
      </c>
      <c r="O40" s="10">
        <v>0.22</v>
      </c>
      <c r="P40" s="10">
        <v>0.24</v>
      </c>
      <c r="Q40" s="10">
        <v>0.92</v>
      </c>
      <c r="R40" s="10">
        <v>0.96</v>
      </c>
      <c r="S40" s="10">
        <v>0.7</v>
      </c>
      <c r="T40" s="10">
        <v>0.33</v>
      </c>
    </row>
    <row r="41" spans="1:20" x14ac:dyDescent="0.2">
      <c r="A41" s="8">
        <v>37</v>
      </c>
      <c r="B41" s="10">
        <v>0.78</v>
      </c>
      <c r="C41" s="10">
        <v>0.15999999999999992</v>
      </c>
      <c r="D41" s="10">
        <v>0.32000000000000006</v>
      </c>
      <c r="E41" s="10">
        <v>5.0000000000000044E-2</v>
      </c>
      <c r="F41" s="10">
        <v>0.37999999999999989</v>
      </c>
      <c r="G41" s="10">
        <v>1.27</v>
      </c>
      <c r="H41" s="10">
        <v>0.98</v>
      </c>
      <c r="I41" s="10">
        <v>0.8</v>
      </c>
      <c r="J41" s="10">
        <v>0.28000000000000003</v>
      </c>
      <c r="K41" s="10">
        <v>0.1</v>
      </c>
      <c r="L41" s="10">
        <v>0.67</v>
      </c>
      <c r="M41" s="10">
        <v>0.33</v>
      </c>
      <c r="N41" s="10">
        <v>0.32</v>
      </c>
      <c r="O41" s="10">
        <v>0.15</v>
      </c>
      <c r="P41" s="10">
        <v>0.19</v>
      </c>
      <c r="Q41" s="10">
        <v>1.01</v>
      </c>
      <c r="R41" s="10">
        <v>0.9</v>
      </c>
      <c r="S41" s="10">
        <v>0.3</v>
      </c>
      <c r="T41" s="10">
        <v>0.56999999999999995</v>
      </c>
    </row>
    <row r="42" spans="1:20" x14ac:dyDescent="0.2">
      <c r="A42" s="8">
        <v>38</v>
      </c>
      <c r="B42" s="10">
        <v>1.17</v>
      </c>
      <c r="C42" s="10">
        <v>7.0000000000000062E-2</v>
      </c>
      <c r="D42" s="10">
        <v>0.26</v>
      </c>
      <c r="E42" s="10">
        <v>0.19999999999999996</v>
      </c>
      <c r="F42" s="10">
        <v>0.5</v>
      </c>
      <c r="G42" s="10">
        <v>0.84</v>
      </c>
      <c r="H42" s="10">
        <v>1.08</v>
      </c>
      <c r="I42" s="10">
        <v>0.78</v>
      </c>
      <c r="J42" s="10">
        <v>0.12</v>
      </c>
      <c r="K42" s="10">
        <v>0.33</v>
      </c>
      <c r="L42" s="10">
        <v>0.64</v>
      </c>
      <c r="M42" s="10">
        <v>0.32</v>
      </c>
      <c r="N42" s="10">
        <v>0.36</v>
      </c>
      <c r="O42" s="10">
        <v>0.14000000000000001</v>
      </c>
      <c r="P42" s="10">
        <v>0.17</v>
      </c>
      <c r="Q42" s="10">
        <v>1.07</v>
      </c>
      <c r="R42" s="10">
        <v>0.75</v>
      </c>
      <c r="S42" s="10">
        <v>0.43</v>
      </c>
      <c r="T42" s="10">
        <v>0.49</v>
      </c>
    </row>
    <row r="43" spans="1:20" x14ac:dyDescent="0.2">
      <c r="A43" s="8">
        <v>39</v>
      </c>
      <c r="B43" s="10">
        <v>0.91</v>
      </c>
      <c r="C43" s="10">
        <v>0.47</v>
      </c>
      <c r="D43" s="10">
        <v>0.45999999999999996</v>
      </c>
      <c r="E43" s="10">
        <v>8.0000000000000071E-2</v>
      </c>
      <c r="F43" s="10">
        <v>0.3600000000000001</v>
      </c>
      <c r="G43" s="10">
        <v>0.64</v>
      </c>
      <c r="H43" s="10">
        <v>0.78</v>
      </c>
      <c r="I43" s="10">
        <v>0.86</v>
      </c>
      <c r="J43" s="10">
        <v>0.3</v>
      </c>
      <c r="K43" s="10">
        <v>0.13</v>
      </c>
      <c r="L43" s="10">
        <v>0.78</v>
      </c>
      <c r="M43" s="10">
        <v>0.22</v>
      </c>
      <c r="N43" s="10">
        <v>0.23</v>
      </c>
      <c r="O43" s="10">
        <v>0.19</v>
      </c>
      <c r="P43" s="10">
        <v>0.13</v>
      </c>
      <c r="Q43" s="10">
        <v>1.04</v>
      </c>
      <c r="R43" s="10">
        <v>0.98</v>
      </c>
      <c r="S43" s="10">
        <v>0.98</v>
      </c>
      <c r="T43" s="10">
        <v>0.44</v>
      </c>
    </row>
    <row r="44" spans="1:20" x14ac:dyDescent="0.2">
      <c r="A44" s="8">
        <v>40</v>
      </c>
      <c r="B44" s="10">
        <v>1.18</v>
      </c>
      <c r="C44" s="10">
        <v>0.41999999999999993</v>
      </c>
      <c r="D44" s="10">
        <v>0.42999999999999994</v>
      </c>
      <c r="E44" s="10">
        <v>0.16999999999999993</v>
      </c>
      <c r="F44" s="10">
        <v>0.47</v>
      </c>
      <c r="G44" s="10">
        <v>1.29</v>
      </c>
      <c r="H44" s="10">
        <v>1.39</v>
      </c>
      <c r="I44" s="10">
        <v>0.71</v>
      </c>
      <c r="J44" s="10">
        <v>0.15</v>
      </c>
      <c r="K44" s="10">
        <v>0.33</v>
      </c>
      <c r="L44" s="10">
        <v>0.8</v>
      </c>
      <c r="M44" s="10">
        <v>0.26</v>
      </c>
      <c r="N44" s="10">
        <v>0.14000000000000001</v>
      </c>
      <c r="O44" s="10">
        <v>0.14000000000000001</v>
      </c>
      <c r="P44" s="10">
        <v>0.13</v>
      </c>
      <c r="Q44" s="10">
        <v>1.05</v>
      </c>
      <c r="R44" s="10">
        <v>0.86</v>
      </c>
      <c r="S44" s="10">
        <v>0.78</v>
      </c>
      <c r="T44" s="10">
        <v>0.51</v>
      </c>
    </row>
    <row r="45" spans="1:20" x14ac:dyDescent="0.2">
      <c r="A45" s="8">
        <v>41</v>
      </c>
      <c r="B45" s="10">
        <v>0.91</v>
      </c>
      <c r="C45" s="10">
        <v>0.25</v>
      </c>
      <c r="D45" s="10">
        <v>2.0000000000000018E-2</v>
      </c>
      <c r="E45" s="10">
        <v>0.10000000000000009</v>
      </c>
      <c r="F45" s="10">
        <v>0.39999999999999991</v>
      </c>
      <c r="G45" s="10">
        <v>1.1399999999999999</v>
      </c>
      <c r="H45" s="10">
        <v>1.04</v>
      </c>
      <c r="I45" s="10">
        <v>0.63</v>
      </c>
      <c r="J45" s="10">
        <v>0.36</v>
      </c>
      <c r="K45" s="10">
        <v>0.17</v>
      </c>
      <c r="L45" s="10">
        <v>0.86</v>
      </c>
      <c r="M45" s="10">
        <v>0.12</v>
      </c>
      <c r="N45" s="10">
        <v>0.38</v>
      </c>
      <c r="O45" s="10">
        <v>0.14000000000000001</v>
      </c>
      <c r="P45" s="10">
        <v>0.26</v>
      </c>
      <c r="Q45" s="10">
        <v>0.75</v>
      </c>
      <c r="R45" s="10">
        <v>0.78</v>
      </c>
      <c r="S45" s="10">
        <v>0.67</v>
      </c>
      <c r="T45" s="10">
        <v>0.95</v>
      </c>
    </row>
    <row r="46" spans="1:20" x14ac:dyDescent="0.2">
      <c r="A46" s="8">
        <v>42</v>
      </c>
      <c r="B46" s="10">
        <v>1.1599999999999999</v>
      </c>
      <c r="C46" s="10">
        <v>0.18999999999999995</v>
      </c>
      <c r="D46" s="10">
        <v>0.20999999999999996</v>
      </c>
      <c r="E46" s="10">
        <v>6.0000000000000053E-2</v>
      </c>
      <c r="F46" s="10">
        <v>0.37000000000000011</v>
      </c>
      <c r="G46" s="10">
        <v>1.02</v>
      </c>
      <c r="H46" s="10">
        <v>0.61</v>
      </c>
      <c r="I46" s="10">
        <v>0.81</v>
      </c>
      <c r="J46" s="10">
        <v>0.15</v>
      </c>
      <c r="K46" s="10">
        <v>0.32</v>
      </c>
      <c r="L46" s="10">
        <v>0.86</v>
      </c>
      <c r="M46" s="10">
        <v>0.16</v>
      </c>
      <c r="N46" s="10">
        <v>0.32</v>
      </c>
      <c r="O46" s="10">
        <v>0.12</v>
      </c>
      <c r="P46" s="10">
        <v>0.2</v>
      </c>
      <c r="Q46" s="10">
        <v>0.83</v>
      </c>
      <c r="R46" s="10">
        <v>0.8</v>
      </c>
      <c r="S46" s="10">
        <v>0.46</v>
      </c>
      <c r="T46" s="10">
        <v>0.89</v>
      </c>
    </row>
    <row r="47" spans="1:20" x14ac:dyDescent="0.2">
      <c r="A47" s="8">
        <v>43</v>
      </c>
      <c r="B47" s="10">
        <v>1</v>
      </c>
      <c r="C47" s="10">
        <v>0.34000000000000008</v>
      </c>
      <c r="D47" s="10">
        <v>0.1100000000000001</v>
      </c>
      <c r="E47" s="10">
        <v>0.15999999999999992</v>
      </c>
      <c r="F47" s="10">
        <v>0.3600000000000001</v>
      </c>
      <c r="G47" s="10">
        <v>0.82</v>
      </c>
      <c r="H47" s="10">
        <v>1.32</v>
      </c>
      <c r="I47" s="10">
        <v>0.63</v>
      </c>
      <c r="J47" s="10">
        <v>0.35</v>
      </c>
      <c r="K47" s="10">
        <v>0.2</v>
      </c>
      <c r="L47" s="10">
        <v>0.71</v>
      </c>
      <c r="M47" s="10">
        <v>0.33</v>
      </c>
      <c r="N47" s="10">
        <v>0.15</v>
      </c>
      <c r="O47" s="10">
        <v>0.21</v>
      </c>
      <c r="P47" s="10">
        <v>0.28999999999999998</v>
      </c>
      <c r="Q47" s="10">
        <v>0.89</v>
      </c>
      <c r="R47" s="10">
        <v>0.82</v>
      </c>
      <c r="S47" s="10">
        <v>0.89</v>
      </c>
      <c r="T47" s="10">
        <v>0.99</v>
      </c>
    </row>
    <row r="48" spans="1:20" x14ac:dyDescent="0.2">
      <c r="A48" s="8">
        <v>44</v>
      </c>
      <c r="B48" s="10">
        <v>1.06</v>
      </c>
      <c r="C48" s="10">
        <v>0.40999999999999992</v>
      </c>
      <c r="D48" s="10">
        <v>6.0000000000000053E-2</v>
      </c>
      <c r="E48" s="10">
        <v>7.0000000000000062E-2</v>
      </c>
      <c r="F48" s="10">
        <v>0.31000000000000005</v>
      </c>
      <c r="G48" s="10">
        <v>1.19</v>
      </c>
      <c r="H48" s="10">
        <v>0.79</v>
      </c>
      <c r="I48" s="10">
        <v>0.88</v>
      </c>
      <c r="J48" s="10">
        <v>0.19</v>
      </c>
      <c r="K48" s="10">
        <v>0.3</v>
      </c>
      <c r="L48" s="10">
        <v>0.63</v>
      </c>
      <c r="M48" s="10">
        <v>0.35</v>
      </c>
      <c r="N48" s="10">
        <v>0.17</v>
      </c>
      <c r="O48" s="10">
        <v>0.2</v>
      </c>
      <c r="P48" s="10">
        <v>0.22</v>
      </c>
      <c r="Q48" s="10">
        <v>0.75</v>
      </c>
      <c r="R48" s="10">
        <v>0.87</v>
      </c>
      <c r="S48" s="10">
        <v>0.87</v>
      </c>
      <c r="T48" s="10">
        <v>0.84</v>
      </c>
    </row>
    <row r="49" spans="1:20" x14ac:dyDescent="0.2">
      <c r="A49" s="8">
        <v>45</v>
      </c>
      <c r="B49" s="10">
        <v>0.86</v>
      </c>
      <c r="C49" s="10">
        <v>2.0000000000000018E-2</v>
      </c>
      <c r="D49" s="10">
        <v>0.25</v>
      </c>
      <c r="E49" s="10">
        <v>0.19999999999999996</v>
      </c>
      <c r="F49" s="10">
        <v>0.40999999999999992</v>
      </c>
      <c r="G49" s="10">
        <v>1.05</v>
      </c>
      <c r="H49" s="10">
        <v>0.83</v>
      </c>
      <c r="I49" s="10">
        <v>0.77</v>
      </c>
      <c r="J49" s="10">
        <v>0.37</v>
      </c>
      <c r="K49" s="10">
        <v>0.2</v>
      </c>
      <c r="L49" s="10">
        <v>0.66</v>
      </c>
      <c r="M49" s="10">
        <v>0.11</v>
      </c>
      <c r="N49" s="10">
        <v>0.37</v>
      </c>
      <c r="O49" s="10">
        <v>0.27</v>
      </c>
      <c r="P49" s="10">
        <v>0.13</v>
      </c>
      <c r="Q49" s="10">
        <v>1.05</v>
      </c>
      <c r="R49" s="10">
        <v>0.85</v>
      </c>
      <c r="S49" s="10">
        <v>0.28000000000000003</v>
      </c>
      <c r="T49" s="10">
        <v>0.65</v>
      </c>
    </row>
    <row r="50" spans="1:20" x14ac:dyDescent="0.2">
      <c r="A50" s="8">
        <v>46</v>
      </c>
      <c r="B50" s="10">
        <v>1.19</v>
      </c>
      <c r="C50" s="10">
        <v>0.20999999999999996</v>
      </c>
      <c r="D50" s="10">
        <v>0.31000000000000005</v>
      </c>
      <c r="E50" s="10">
        <v>4.0000000000000036E-2</v>
      </c>
      <c r="F50" s="10">
        <v>0.32000000000000006</v>
      </c>
      <c r="G50" s="10">
        <v>0.61</v>
      </c>
      <c r="H50" s="10">
        <v>1.01</v>
      </c>
      <c r="I50" s="10">
        <v>0.8</v>
      </c>
      <c r="J50" s="10">
        <v>0.23</v>
      </c>
      <c r="K50" s="10">
        <v>0.35</v>
      </c>
      <c r="L50" s="10">
        <v>0.71</v>
      </c>
      <c r="M50" s="10">
        <v>0.15</v>
      </c>
      <c r="N50" s="10">
        <v>0.27</v>
      </c>
      <c r="O50" s="10">
        <v>0.28000000000000003</v>
      </c>
      <c r="P50" s="10">
        <v>0.16</v>
      </c>
      <c r="Q50" s="10">
        <v>1.1000000000000001</v>
      </c>
      <c r="R50" s="10">
        <v>0.94</v>
      </c>
      <c r="S50" s="10">
        <v>0.39</v>
      </c>
      <c r="T50" s="10">
        <v>0.82</v>
      </c>
    </row>
    <row r="51" spans="1:20" x14ac:dyDescent="0.2">
      <c r="A51" s="8">
        <v>47</v>
      </c>
      <c r="B51" s="10">
        <v>0.77</v>
      </c>
      <c r="C51" s="10">
        <v>0.3899999999999999</v>
      </c>
      <c r="D51" s="10">
        <v>0.34000000000000008</v>
      </c>
      <c r="E51" s="10">
        <v>0.22999999999999998</v>
      </c>
      <c r="F51" s="10">
        <v>0.3899999999999999</v>
      </c>
      <c r="G51" s="10">
        <v>0.71</v>
      </c>
      <c r="H51" s="10">
        <v>0.74</v>
      </c>
      <c r="I51" s="10">
        <v>0.65</v>
      </c>
      <c r="J51" s="10">
        <v>0.35</v>
      </c>
      <c r="K51" s="10">
        <v>0.1</v>
      </c>
      <c r="L51" s="10">
        <v>0.79</v>
      </c>
      <c r="M51" s="10">
        <v>0.24</v>
      </c>
      <c r="N51" s="10">
        <v>0.12</v>
      </c>
      <c r="O51" s="10">
        <v>0.28999999999999998</v>
      </c>
      <c r="P51" s="10">
        <v>0.14000000000000001</v>
      </c>
      <c r="Q51" s="10">
        <v>1.1299999999999999</v>
      </c>
      <c r="R51" s="10">
        <v>0.88</v>
      </c>
      <c r="S51" s="10">
        <v>0.79</v>
      </c>
      <c r="T51" s="10">
        <v>0.59</v>
      </c>
    </row>
    <row r="52" spans="1:20" x14ac:dyDescent="0.2">
      <c r="A52" s="8">
        <v>48</v>
      </c>
      <c r="B52" s="10">
        <v>1.04</v>
      </c>
      <c r="C52" s="10">
        <v>0.43999999999999995</v>
      </c>
      <c r="D52" s="10">
        <v>0.40999999999999992</v>
      </c>
      <c r="E52" s="10">
        <v>9.000000000000008E-2</v>
      </c>
      <c r="F52" s="10">
        <v>0.48</v>
      </c>
      <c r="G52" s="10">
        <v>1.23</v>
      </c>
      <c r="H52" s="10">
        <v>1.1599999999999999</v>
      </c>
      <c r="I52" s="10">
        <v>0.89</v>
      </c>
      <c r="J52" s="10">
        <v>0.24</v>
      </c>
      <c r="K52" s="10">
        <v>0.32</v>
      </c>
      <c r="L52" s="10">
        <v>0.78</v>
      </c>
      <c r="M52" s="10">
        <v>0.28999999999999998</v>
      </c>
      <c r="N52" s="10">
        <v>0.28000000000000003</v>
      </c>
      <c r="O52" s="10">
        <v>0.27</v>
      </c>
      <c r="P52" s="10">
        <v>0.13</v>
      </c>
      <c r="Q52" s="10">
        <v>1.1299999999999999</v>
      </c>
      <c r="R52" s="10">
        <v>0.9</v>
      </c>
      <c r="S52" s="10">
        <v>0.84</v>
      </c>
      <c r="T52" s="10">
        <v>0.75</v>
      </c>
    </row>
    <row r="53" spans="1:20" x14ac:dyDescent="0.2">
      <c r="A53" s="8">
        <v>49</v>
      </c>
      <c r="B53" s="10">
        <v>0.98</v>
      </c>
      <c r="C53" s="10">
        <v>0.19999999999999996</v>
      </c>
      <c r="D53" s="10">
        <v>0.10000000000000009</v>
      </c>
      <c r="E53" s="10">
        <v>0.48</v>
      </c>
      <c r="F53" s="10">
        <v>0.37000000000000011</v>
      </c>
      <c r="G53" s="10">
        <v>1.37</v>
      </c>
      <c r="H53" s="10">
        <v>1.3</v>
      </c>
      <c r="I53" s="10">
        <v>0.89</v>
      </c>
      <c r="J53" s="10">
        <v>0.22</v>
      </c>
      <c r="K53" s="10">
        <v>0.18</v>
      </c>
      <c r="L53" s="10">
        <v>0.89</v>
      </c>
      <c r="M53" s="10">
        <v>0.23</v>
      </c>
      <c r="N53" s="10">
        <v>0.17</v>
      </c>
      <c r="O53" s="10">
        <v>0.24</v>
      </c>
      <c r="P53" s="10">
        <v>0.12</v>
      </c>
      <c r="Q53" s="10">
        <v>0.77</v>
      </c>
      <c r="R53" s="10">
        <v>1.23</v>
      </c>
      <c r="S53" s="10">
        <v>0.4</v>
      </c>
      <c r="T53" s="10">
        <v>0.28999999999999998</v>
      </c>
    </row>
    <row r="54" spans="1:20" x14ac:dyDescent="0.2">
      <c r="A54" s="8">
        <v>50</v>
      </c>
      <c r="B54" s="10">
        <v>1.1599999999999999</v>
      </c>
      <c r="C54" s="10">
        <v>4.0000000000000036E-2</v>
      </c>
      <c r="D54" s="10">
        <v>6.0000000000000053E-2</v>
      </c>
      <c r="E54" s="10">
        <v>0.29000000000000004</v>
      </c>
      <c r="F54" s="10">
        <v>0.3899999999999999</v>
      </c>
      <c r="G54" s="10">
        <v>0.93</v>
      </c>
      <c r="H54" s="10">
        <v>0.73</v>
      </c>
      <c r="I54" s="10">
        <v>0.72</v>
      </c>
      <c r="J54" s="10">
        <v>0.38</v>
      </c>
      <c r="K54" s="10">
        <v>0.34</v>
      </c>
      <c r="L54" s="10">
        <v>0.77</v>
      </c>
      <c r="M54" s="10">
        <v>0.28000000000000003</v>
      </c>
      <c r="N54" s="10">
        <v>0.11</v>
      </c>
      <c r="O54" s="10">
        <v>0.26</v>
      </c>
      <c r="P54" s="10">
        <v>0.14000000000000001</v>
      </c>
      <c r="Q54" s="10">
        <v>0.76</v>
      </c>
      <c r="R54" s="10">
        <v>1.1200000000000001</v>
      </c>
      <c r="S54" s="10">
        <v>0.62</v>
      </c>
      <c r="T54" s="10">
        <v>0.45</v>
      </c>
    </row>
    <row r="55" spans="1:20" x14ac:dyDescent="0.2">
      <c r="A55" s="8">
        <v>51</v>
      </c>
      <c r="B55" s="10">
        <v>0.95</v>
      </c>
      <c r="C55" s="10">
        <v>0.27</v>
      </c>
      <c r="D55" s="10">
        <v>0.15999999999999992</v>
      </c>
      <c r="E55" s="10">
        <v>0.3899999999999999</v>
      </c>
      <c r="F55" s="10">
        <v>0.26</v>
      </c>
      <c r="G55" s="10">
        <v>0.74</v>
      </c>
      <c r="H55" s="10">
        <v>1.31</v>
      </c>
      <c r="I55" s="10">
        <v>0.75</v>
      </c>
      <c r="J55" s="10">
        <v>0.13</v>
      </c>
      <c r="K55" s="10">
        <v>0.19</v>
      </c>
      <c r="L55" s="10">
        <v>0.66</v>
      </c>
      <c r="M55" s="10">
        <v>0.1</v>
      </c>
      <c r="N55" s="10">
        <v>0.28999999999999998</v>
      </c>
      <c r="O55" s="10">
        <v>0.22</v>
      </c>
      <c r="P55" s="10">
        <v>0.18</v>
      </c>
      <c r="Q55" s="10">
        <v>0.82</v>
      </c>
      <c r="R55" s="10">
        <v>1.07</v>
      </c>
      <c r="S55" s="10">
        <v>0.8</v>
      </c>
      <c r="T55" s="10">
        <v>0.38</v>
      </c>
    </row>
    <row r="56" spans="1:20" x14ac:dyDescent="0.2">
      <c r="A56" s="8">
        <v>52</v>
      </c>
      <c r="B56" s="10">
        <v>1.21</v>
      </c>
      <c r="C56" s="10">
        <v>0.40999999999999992</v>
      </c>
      <c r="D56" s="10">
        <v>7.0000000000000062E-2</v>
      </c>
      <c r="E56" s="10">
        <v>0.43999999999999995</v>
      </c>
      <c r="F56" s="10">
        <v>0.37999999999999989</v>
      </c>
      <c r="G56" s="10">
        <v>1.04</v>
      </c>
      <c r="H56" s="10">
        <v>0.88</v>
      </c>
      <c r="I56" s="10">
        <v>0.71</v>
      </c>
      <c r="J56" s="10">
        <v>0.33</v>
      </c>
      <c r="K56" s="10">
        <v>0.26</v>
      </c>
      <c r="L56" s="10">
        <v>0.62</v>
      </c>
      <c r="M56" s="10">
        <v>0.19</v>
      </c>
      <c r="N56" s="10">
        <v>0.39</v>
      </c>
      <c r="O56" s="10">
        <v>0.27</v>
      </c>
      <c r="P56" s="10">
        <v>0.19</v>
      </c>
      <c r="Q56" s="10">
        <v>0.83</v>
      </c>
      <c r="R56" s="10">
        <v>1.18</v>
      </c>
      <c r="S56" s="10">
        <v>0.82</v>
      </c>
      <c r="T56" s="10">
        <v>0.48</v>
      </c>
    </row>
    <row r="57" spans="1:20" x14ac:dyDescent="0.2">
      <c r="A57" s="8">
        <v>53</v>
      </c>
      <c r="B57" s="10">
        <v>0.91</v>
      </c>
      <c r="C57" s="10">
        <v>0.10000000000000009</v>
      </c>
      <c r="D57" s="10">
        <v>0.30000000000000004</v>
      </c>
      <c r="E57" s="10">
        <v>0.25</v>
      </c>
      <c r="F57" s="10">
        <v>0.48</v>
      </c>
      <c r="G57" s="10">
        <v>1.26</v>
      </c>
      <c r="H57" s="10">
        <v>0.66</v>
      </c>
      <c r="I57" s="10">
        <v>0.81</v>
      </c>
      <c r="J57" s="10">
        <v>0.21</v>
      </c>
      <c r="K57" s="10">
        <v>0.13</v>
      </c>
      <c r="L57" s="10">
        <v>0.7</v>
      </c>
      <c r="M57" s="10">
        <v>0.28999999999999998</v>
      </c>
      <c r="N57" s="10">
        <v>0.15</v>
      </c>
      <c r="O57" s="10">
        <v>0.21</v>
      </c>
      <c r="P57" s="10">
        <v>0.27</v>
      </c>
      <c r="Q57" s="10">
        <v>1.1399999999999999</v>
      </c>
      <c r="R57" s="10">
        <v>1.04</v>
      </c>
      <c r="S57" s="10">
        <v>0.26</v>
      </c>
      <c r="T57" s="10">
        <v>0.51</v>
      </c>
    </row>
    <row r="58" spans="1:20" x14ac:dyDescent="0.2">
      <c r="A58" s="8">
        <v>54</v>
      </c>
      <c r="B58" s="10">
        <v>1.18</v>
      </c>
      <c r="C58" s="10">
        <v>6.0000000000000053E-2</v>
      </c>
      <c r="D58" s="10">
        <v>0.45999999999999996</v>
      </c>
      <c r="E58" s="10">
        <v>0.31000000000000005</v>
      </c>
      <c r="F58" s="10">
        <v>0.45999999999999996</v>
      </c>
      <c r="G58" s="10">
        <v>0.68</v>
      </c>
      <c r="H58" s="10">
        <v>1.03</v>
      </c>
      <c r="I58" s="10">
        <v>0.68</v>
      </c>
      <c r="J58" s="10">
        <v>0.25</v>
      </c>
      <c r="K58" s="10">
        <v>0.39</v>
      </c>
      <c r="L58" s="10">
        <v>0.73</v>
      </c>
      <c r="M58" s="10">
        <v>0.38</v>
      </c>
      <c r="N58" s="10">
        <v>0.19</v>
      </c>
      <c r="O58" s="10">
        <v>0.16</v>
      </c>
      <c r="P58" s="10">
        <v>0.25</v>
      </c>
      <c r="Q58" s="10">
        <v>1</v>
      </c>
      <c r="R58" s="10">
        <v>1.08</v>
      </c>
      <c r="S58" s="10">
        <v>0.25</v>
      </c>
      <c r="T58" s="10">
        <v>0.32</v>
      </c>
    </row>
    <row r="59" spans="1:20" x14ac:dyDescent="0.2">
      <c r="A59" s="8">
        <v>55</v>
      </c>
      <c r="B59" s="10">
        <v>0.85</v>
      </c>
      <c r="C59" s="10">
        <v>0.34000000000000008</v>
      </c>
      <c r="D59" s="10">
        <v>0.27</v>
      </c>
      <c r="E59" s="10">
        <v>0.34000000000000008</v>
      </c>
      <c r="F59" s="10">
        <v>0.49</v>
      </c>
      <c r="G59" s="10">
        <v>0.65</v>
      </c>
      <c r="H59" s="10">
        <v>0.77</v>
      </c>
      <c r="I59" s="10">
        <v>0.81</v>
      </c>
      <c r="J59" s="10">
        <v>0.16</v>
      </c>
      <c r="K59" s="10">
        <v>0.12</v>
      </c>
      <c r="L59" s="10">
        <v>0.9</v>
      </c>
      <c r="M59" s="10">
        <v>0.21</v>
      </c>
      <c r="N59" s="10">
        <v>0.28999999999999998</v>
      </c>
      <c r="O59" s="10">
        <v>0.14000000000000001</v>
      </c>
      <c r="P59" s="10">
        <v>0.22</v>
      </c>
      <c r="Q59" s="10">
        <v>1.1599999999999999</v>
      </c>
      <c r="R59" s="10">
        <v>1.1599999999999999</v>
      </c>
      <c r="S59" s="10">
        <v>0.88</v>
      </c>
      <c r="T59" s="10">
        <v>0.55000000000000004</v>
      </c>
    </row>
    <row r="60" spans="1:20" x14ac:dyDescent="0.2">
      <c r="A60" s="8">
        <v>56</v>
      </c>
      <c r="B60" s="10">
        <v>1.19</v>
      </c>
      <c r="C60" s="10">
        <v>0.42999999999999994</v>
      </c>
      <c r="D60" s="10">
        <v>0.40999999999999992</v>
      </c>
      <c r="E60" s="10">
        <v>0.40999999999999992</v>
      </c>
      <c r="F60" s="10">
        <v>0.49</v>
      </c>
      <c r="G60" s="10">
        <v>1.0900000000000001</v>
      </c>
      <c r="H60" s="10">
        <v>1.06</v>
      </c>
      <c r="I60" s="10">
        <v>0.66</v>
      </c>
      <c r="J60" s="10">
        <v>0.3</v>
      </c>
      <c r="K60" s="10">
        <v>0.4</v>
      </c>
      <c r="L60" s="10">
        <v>0.76</v>
      </c>
      <c r="M60" s="10">
        <v>0.13</v>
      </c>
      <c r="N60" s="10">
        <v>0.24</v>
      </c>
      <c r="O60" s="10">
        <v>0.18</v>
      </c>
      <c r="P60" s="10">
        <v>0.26</v>
      </c>
      <c r="Q60" s="10">
        <v>1.19</v>
      </c>
      <c r="R60" s="10">
        <v>1.1100000000000001</v>
      </c>
      <c r="S60" s="10">
        <v>0.96</v>
      </c>
      <c r="T60" s="10">
        <v>0.55000000000000004</v>
      </c>
    </row>
    <row r="61" spans="1:20" x14ac:dyDescent="0.2">
      <c r="A61" s="8">
        <v>57</v>
      </c>
      <c r="B61" s="10">
        <v>0.83</v>
      </c>
      <c r="C61" s="10">
        <v>5.0000000000000044E-2</v>
      </c>
      <c r="D61" s="10">
        <v>0.16999999999999993</v>
      </c>
      <c r="E61" s="10">
        <v>0.34000000000000008</v>
      </c>
      <c r="F61" s="10">
        <v>0.30000000000000004</v>
      </c>
      <c r="G61" s="10">
        <v>1.1200000000000001</v>
      </c>
      <c r="H61" s="10">
        <v>1.27</v>
      </c>
      <c r="I61" s="10">
        <v>0.64</v>
      </c>
      <c r="J61" s="10">
        <v>0.14000000000000001</v>
      </c>
      <c r="K61" s="10">
        <v>0.21</v>
      </c>
      <c r="L61" s="10">
        <v>0.77</v>
      </c>
      <c r="M61" s="10">
        <v>0.12</v>
      </c>
      <c r="N61" s="10">
        <v>0.16</v>
      </c>
      <c r="O61" s="10">
        <v>0.15</v>
      </c>
      <c r="P61" s="10">
        <v>0.12</v>
      </c>
      <c r="Q61" s="10">
        <v>0.82</v>
      </c>
      <c r="R61" s="10">
        <v>1.23</v>
      </c>
      <c r="S61" s="10">
        <v>0.51</v>
      </c>
      <c r="T61" s="10">
        <v>0.98</v>
      </c>
    </row>
    <row r="62" spans="1:20" x14ac:dyDescent="0.2">
      <c r="A62" s="8">
        <v>58</v>
      </c>
      <c r="B62" s="10">
        <v>1.08</v>
      </c>
      <c r="C62" s="10">
        <v>0.19999999999999996</v>
      </c>
      <c r="D62" s="10">
        <v>5.0000000000000044E-2</v>
      </c>
      <c r="E62" s="10">
        <v>0.42999999999999994</v>
      </c>
      <c r="F62" s="10">
        <v>0.29000000000000004</v>
      </c>
      <c r="G62" s="10">
        <v>0.75</v>
      </c>
      <c r="H62" s="10">
        <v>0.81</v>
      </c>
      <c r="I62" s="10">
        <v>0.84</v>
      </c>
      <c r="J62" s="10">
        <v>0.28999999999999998</v>
      </c>
      <c r="K62" s="10">
        <v>0.27</v>
      </c>
      <c r="L62" s="10">
        <v>0.77</v>
      </c>
      <c r="M62" s="10">
        <v>0.19</v>
      </c>
      <c r="N62" s="10">
        <v>0.12</v>
      </c>
      <c r="O62" s="10">
        <v>0.17</v>
      </c>
      <c r="P62" s="10">
        <v>0.12</v>
      </c>
      <c r="Q62" s="10">
        <v>0.88</v>
      </c>
      <c r="R62" s="10">
        <v>1.1499999999999999</v>
      </c>
      <c r="S62" s="10">
        <v>0.26</v>
      </c>
      <c r="T62" s="10">
        <v>0.94</v>
      </c>
    </row>
    <row r="63" spans="1:20" x14ac:dyDescent="0.2">
      <c r="A63" s="8">
        <v>59</v>
      </c>
      <c r="B63" s="10">
        <v>0.8</v>
      </c>
      <c r="C63" s="10">
        <v>0.41999999999999993</v>
      </c>
      <c r="D63" s="10">
        <v>0.20999999999999996</v>
      </c>
      <c r="E63" s="10">
        <v>0.47</v>
      </c>
      <c r="F63" s="10">
        <v>0.5</v>
      </c>
      <c r="G63" s="10">
        <v>0.89</v>
      </c>
      <c r="H63" s="10">
        <v>1.04</v>
      </c>
      <c r="I63" s="10">
        <v>0.65</v>
      </c>
      <c r="J63" s="10">
        <v>0.14000000000000001</v>
      </c>
      <c r="K63" s="10">
        <v>0.2</v>
      </c>
      <c r="L63" s="10">
        <v>0.66</v>
      </c>
      <c r="M63" s="10">
        <v>0.35</v>
      </c>
      <c r="N63" s="10">
        <v>0.36</v>
      </c>
      <c r="O63" s="10">
        <v>0.11</v>
      </c>
      <c r="P63" s="10">
        <v>0.2</v>
      </c>
      <c r="Q63" s="10">
        <v>0.89</v>
      </c>
      <c r="R63" s="10">
        <v>1.25</v>
      </c>
      <c r="S63" s="10">
        <v>0.68</v>
      </c>
      <c r="T63" s="10">
        <v>0.79</v>
      </c>
    </row>
    <row r="64" spans="1:20" x14ac:dyDescent="0.2">
      <c r="A64" s="8">
        <v>60</v>
      </c>
      <c r="B64" s="10">
        <v>1.05</v>
      </c>
      <c r="C64" s="10">
        <v>0.33000000000000007</v>
      </c>
      <c r="D64" s="10">
        <v>0.21999999999999997</v>
      </c>
      <c r="E64" s="10">
        <v>0.41999999999999993</v>
      </c>
      <c r="F64" s="10">
        <v>0.35000000000000009</v>
      </c>
      <c r="G64" s="10">
        <v>1.33</v>
      </c>
      <c r="H64" s="10">
        <v>0.91</v>
      </c>
      <c r="I64" s="10">
        <v>0.8</v>
      </c>
      <c r="J64" s="10">
        <v>0.38</v>
      </c>
      <c r="K64" s="10">
        <v>0.39</v>
      </c>
      <c r="L64" s="10">
        <v>0.68</v>
      </c>
      <c r="M64" s="10">
        <v>0.33</v>
      </c>
      <c r="N64" s="10">
        <v>0.31</v>
      </c>
      <c r="O64" s="10">
        <v>0.19</v>
      </c>
      <c r="P64" s="10">
        <v>0.16</v>
      </c>
      <c r="Q64" s="10">
        <v>0.97</v>
      </c>
      <c r="R64" s="10">
        <v>1.19</v>
      </c>
      <c r="S64" s="10">
        <v>0.71</v>
      </c>
      <c r="T64" s="10">
        <v>0.91</v>
      </c>
    </row>
    <row r="65" spans="1:20" x14ac:dyDescent="0.2">
      <c r="A65" s="8">
        <v>61</v>
      </c>
      <c r="B65" s="10">
        <v>0.96</v>
      </c>
      <c r="C65" s="10">
        <v>0.16999999999999993</v>
      </c>
      <c r="D65" s="10">
        <v>0.44999999999999996</v>
      </c>
      <c r="E65" s="10">
        <v>0.32000000000000006</v>
      </c>
      <c r="F65" s="10">
        <v>0.28000000000000003</v>
      </c>
      <c r="G65" s="10">
        <v>1.31</v>
      </c>
      <c r="H65" s="10">
        <v>0.89</v>
      </c>
      <c r="I65" s="10">
        <v>0.64</v>
      </c>
      <c r="J65" s="10">
        <v>0.25</v>
      </c>
      <c r="K65" s="10">
        <v>0.19</v>
      </c>
      <c r="L65" s="10">
        <v>0.68</v>
      </c>
      <c r="M65" s="10">
        <v>0.14000000000000001</v>
      </c>
      <c r="N65" s="10">
        <v>0.13</v>
      </c>
      <c r="O65" s="10">
        <v>0.28000000000000003</v>
      </c>
      <c r="P65" s="10">
        <v>0.25</v>
      </c>
      <c r="Q65" s="10">
        <v>1.1000000000000001</v>
      </c>
      <c r="R65" s="10">
        <v>0.99</v>
      </c>
      <c r="S65" s="10">
        <v>0.31</v>
      </c>
      <c r="T65" s="10">
        <v>0.85</v>
      </c>
    </row>
    <row r="66" spans="1:20" x14ac:dyDescent="0.2">
      <c r="A66" s="8">
        <v>62</v>
      </c>
      <c r="B66" s="10">
        <v>1.03</v>
      </c>
      <c r="C66" s="10">
        <v>5.0000000000000044E-2</v>
      </c>
      <c r="D66" s="10">
        <v>0.30000000000000004</v>
      </c>
      <c r="E66" s="10">
        <v>0.26</v>
      </c>
      <c r="F66" s="10">
        <v>0.35000000000000009</v>
      </c>
      <c r="G66" s="10">
        <v>0.89</v>
      </c>
      <c r="H66" s="10">
        <v>1.26</v>
      </c>
      <c r="I66" s="10">
        <v>0.8</v>
      </c>
      <c r="J66" s="10">
        <v>0.28999999999999998</v>
      </c>
      <c r="K66" s="10">
        <v>0.25</v>
      </c>
      <c r="L66" s="10">
        <v>0.64</v>
      </c>
      <c r="M66" s="10">
        <v>0.23</v>
      </c>
      <c r="N66" s="10">
        <v>0.16</v>
      </c>
      <c r="O66" s="10">
        <v>0.23</v>
      </c>
      <c r="P66" s="10">
        <v>0.3</v>
      </c>
      <c r="Q66" s="10">
        <v>1.24</v>
      </c>
      <c r="R66" s="10">
        <v>1.0900000000000001</v>
      </c>
      <c r="S66" s="10">
        <v>0.44</v>
      </c>
      <c r="T66" s="10">
        <v>0.67</v>
      </c>
    </row>
    <row r="67" spans="1:20" x14ac:dyDescent="0.2">
      <c r="A67" s="8">
        <v>63</v>
      </c>
      <c r="B67" s="10">
        <v>0.92</v>
      </c>
      <c r="C67" s="10">
        <v>0.29000000000000004</v>
      </c>
      <c r="D67" s="10">
        <v>0.41999999999999993</v>
      </c>
      <c r="E67" s="10">
        <v>0.45999999999999996</v>
      </c>
      <c r="F67" s="10">
        <v>0.37999999999999989</v>
      </c>
      <c r="G67" s="10">
        <v>0.93</v>
      </c>
      <c r="H67" s="10">
        <v>0.86</v>
      </c>
      <c r="I67" s="10">
        <v>0.67</v>
      </c>
      <c r="J67" s="10">
        <v>0.14000000000000001</v>
      </c>
      <c r="K67" s="10">
        <v>0.13</v>
      </c>
      <c r="L67" s="10">
        <v>0.8</v>
      </c>
      <c r="M67" s="10">
        <v>0.37</v>
      </c>
      <c r="N67" s="10">
        <v>0.26</v>
      </c>
      <c r="O67" s="10">
        <v>0.3</v>
      </c>
      <c r="P67" s="10">
        <v>0.28000000000000003</v>
      </c>
      <c r="Q67" s="10">
        <v>1.01</v>
      </c>
      <c r="R67" s="10">
        <v>1.05</v>
      </c>
      <c r="S67" s="10">
        <v>0.72</v>
      </c>
      <c r="T67" s="10">
        <v>0.88</v>
      </c>
    </row>
    <row r="68" spans="1:20" x14ac:dyDescent="0.2">
      <c r="A68" s="8">
        <v>64</v>
      </c>
      <c r="B68" s="10">
        <v>1.2</v>
      </c>
      <c r="C68" s="10">
        <v>0.28000000000000003</v>
      </c>
      <c r="D68" s="10">
        <v>0.33000000000000007</v>
      </c>
      <c r="E68" s="10">
        <v>0.42999999999999994</v>
      </c>
      <c r="F68" s="10">
        <v>0.44999999999999996</v>
      </c>
      <c r="G68" s="10">
        <v>1.06</v>
      </c>
      <c r="H68" s="10">
        <v>1.24</v>
      </c>
      <c r="I68" s="10">
        <v>0.77</v>
      </c>
      <c r="J68" s="10">
        <v>0.38</v>
      </c>
      <c r="K68" s="10">
        <v>0.32</v>
      </c>
      <c r="L68" s="10">
        <v>0.86</v>
      </c>
      <c r="M68" s="10">
        <v>0.25</v>
      </c>
      <c r="N68" s="10">
        <v>0.33</v>
      </c>
      <c r="O68" s="10">
        <v>0.25</v>
      </c>
      <c r="P68" s="10">
        <v>0.22</v>
      </c>
      <c r="Q68" s="10">
        <v>1.07</v>
      </c>
      <c r="R68" s="10">
        <v>1.02</v>
      </c>
      <c r="S68" s="10">
        <v>0.65</v>
      </c>
      <c r="T68" s="10">
        <v>0.78</v>
      </c>
    </row>
    <row r="69" spans="1:20" x14ac:dyDescent="0.2">
      <c r="A69" s="8">
        <v>65</v>
      </c>
      <c r="B69" s="10">
        <v>1</v>
      </c>
      <c r="C69" s="10">
        <v>0.25</v>
      </c>
      <c r="D69" s="10">
        <v>0.25</v>
      </c>
      <c r="E69" s="10">
        <v>0.25</v>
      </c>
      <c r="F69" s="10">
        <v>0.25</v>
      </c>
      <c r="G69" s="10">
        <v>1</v>
      </c>
      <c r="H69" s="10">
        <v>1</v>
      </c>
      <c r="I69" s="10">
        <v>0.75</v>
      </c>
      <c r="J69" s="10">
        <v>0.25</v>
      </c>
      <c r="K69" s="10">
        <v>0.25</v>
      </c>
      <c r="L69" s="10">
        <v>0.75</v>
      </c>
      <c r="M69" s="10">
        <v>0.25</v>
      </c>
      <c r="N69" s="10">
        <v>0.25</v>
      </c>
      <c r="O69" s="10">
        <v>0.2</v>
      </c>
      <c r="P69" s="10">
        <v>0.2</v>
      </c>
      <c r="Q69" s="10">
        <v>1</v>
      </c>
      <c r="R69" s="10">
        <v>1</v>
      </c>
      <c r="S69" s="10">
        <v>0.63</v>
      </c>
      <c r="T69" s="10">
        <v>0.63</v>
      </c>
    </row>
    <row r="70" spans="1:20" x14ac:dyDescent="0.2">
      <c r="A70" s="8">
        <v>66</v>
      </c>
      <c r="B70" s="10">
        <v>1.1299999999999999</v>
      </c>
      <c r="C70" s="10">
        <v>0.28000000000000003</v>
      </c>
      <c r="D70" s="10">
        <v>0.30000000000000004</v>
      </c>
      <c r="E70" s="10">
        <v>0.27</v>
      </c>
      <c r="F70" s="10">
        <v>0.33000000000000007</v>
      </c>
      <c r="G70" s="10">
        <v>0.85</v>
      </c>
      <c r="H70" s="10">
        <v>0.95</v>
      </c>
      <c r="I70" s="10">
        <v>0.67</v>
      </c>
      <c r="J70" s="10">
        <v>0.23</v>
      </c>
      <c r="K70" s="10">
        <v>0.12</v>
      </c>
      <c r="L70" s="10">
        <v>0.67</v>
      </c>
      <c r="M70" s="10">
        <v>0.17</v>
      </c>
      <c r="N70" s="10">
        <v>0.22</v>
      </c>
      <c r="O70" s="10">
        <v>0.1</v>
      </c>
      <c r="P70" s="10">
        <v>0.11</v>
      </c>
      <c r="Q70" s="10">
        <v>0.94</v>
      </c>
      <c r="R70" s="10">
        <v>0.83</v>
      </c>
      <c r="S70" s="10">
        <v>0.6</v>
      </c>
      <c r="T70" s="10">
        <v>0.33</v>
      </c>
    </row>
    <row r="71" spans="1:20" x14ac:dyDescent="0.2">
      <c r="A71" s="8">
        <v>67</v>
      </c>
      <c r="B71" s="10">
        <v>0.8</v>
      </c>
      <c r="C71" s="10">
        <v>0.35000000000000009</v>
      </c>
      <c r="D71" s="10">
        <v>0.29000000000000004</v>
      </c>
      <c r="E71" s="10">
        <v>0.27</v>
      </c>
      <c r="F71" s="10">
        <v>0.44999999999999996</v>
      </c>
      <c r="G71" s="10">
        <v>1.04</v>
      </c>
      <c r="H71" s="10">
        <v>1.06</v>
      </c>
      <c r="I71" s="10">
        <v>0.84</v>
      </c>
      <c r="J71" s="10">
        <v>0.26</v>
      </c>
      <c r="K71" s="10">
        <v>0.28999999999999998</v>
      </c>
      <c r="L71" s="10">
        <v>0.62</v>
      </c>
      <c r="M71" s="10">
        <v>0.22</v>
      </c>
      <c r="N71" s="10">
        <v>0.21</v>
      </c>
      <c r="O71" s="10">
        <v>0.11</v>
      </c>
      <c r="P71" s="10">
        <v>0.15</v>
      </c>
      <c r="Q71" s="10">
        <v>0.85</v>
      </c>
      <c r="R71" s="10">
        <v>0.8</v>
      </c>
      <c r="S71" s="10">
        <v>0.56999999999999995</v>
      </c>
      <c r="T71" s="10">
        <v>0.54</v>
      </c>
    </row>
    <row r="72" spans="1:20" x14ac:dyDescent="0.2">
      <c r="A72" s="8">
        <v>68</v>
      </c>
      <c r="B72" s="10">
        <v>1.03</v>
      </c>
      <c r="C72" s="10">
        <v>0.12000000000000011</v>
      </c>
      <c r="D72" s="10">
        <v>0.5</v>
      </c>
      <c r="E72" s="10">
        <v>0.3600000000000001</v>
      </c>
      <c r="F72" s="10">
        <v>0.29000000000000004</v>
      </c>
      <c r="G72" s="10">
        <v>1.28</v>
      </c>
      <c r="H72" s="10">
        <v>0.8</v>
      </c>
      <c r="I72" s="10">
        <v>0.71</v>
      </c>
      <c r="J72" s="10">
        <v>0.22</v>
      </c>
      <c r="K72" s="10">
        <v>0.23</v>
      </c>
      <c r="L72" s="10">
        <v>0.76</v>
      </c>
      <c r="M72" s="10">
        <v>0.35</v>
      </c>
      <c r="N72" s="10">
        <v>0.25</v>
      </c>
      <c r="O72" s="10">
        <v>0.13</v>
      </c>
      <c r="P72" s="10">
        <v>0.1</v>
      </c>
      <c r="Q72" s="10">
        <v>0.93</v>
      </c>
      <c r="R72" s="10">
        <v>0.97</v>
      </c>
      <c r="S72" s="10">
        <v>0.89</v>
      </c>
      <c r="T72" s="10">
        <v>0.37</v>
      </c>
    </row>
    <row r="73" spans="1:20" x14ac:dyDescent="0.2">
      <c r="A73" s="8">
        <v>69</v>
      </c>
      <c r="B73" s="10">
        <v>0.9</v>
      </c>
      <c r="C73" s="10">
        <v>5.0000000000000044E-2</v>
      </c>
      <c r="D73" s="10">
        <v>0.35000000000000009</v>
      </c>
      <c r="E73" s="10">
        <v>0.32000000000000006</v>
      </c>
      <c r="F73" s="10">
        <v>0.28000000000000003</v>
      </c>
      <c r="G73" s="10">
        <v>0.79</v>
      </c>
      <c r="H73" s="10">
        <v>1.34</v>
      </c>
      <c r="I73" s="10">
        <v>0.78</v>
      </c>
      <c r="J73" s="10">
        <v>0.32</v>
      </c>
      <c r="K73" s="10">
        <v>0.26</v>
      </c>
      <c r="L73" s="10">
        <v>0.78</v>
      </c>
      <c r="M73" s="10">
        <v>0.28999999999999998</v>
      </c>
      <c r="N73" s="10">
        <v>0.3</v>
      </c>
      <c r="O73" s="10">
        <v>0.1</v>
      </c>
      <c r="P73" s="10">
        <v>0.17</v>
      </c>
      <c r="Q73" s="10">
        <v>0.77</v>
      </c>
      <c r="R73" s="10">
        <v>0.95</v>
      </c>
      <c r="S73" s="10">
        <v>0.73</v>
      </c>
      <c r="T73" s="10">
        <v>0.56000000000000005</v>
      </c>
    </row>
    <row r="74" spans="1:20" x14ac:dyDescent="0.2">
      <c r="A74" s="8">
        <v>70</v>
      </c>
      <c r="B74" s="10">
        <v>1.25</v>
      </c>
      <c r="C74" s="10">
        <v>0.30000000000000004</v>
      </c>
      <c r="D74" s="10">
        <v>0.21999999999999997</v>
      </c>
      <c r="E74" s="10">
        <v>0.37999999999999989</v>
      </c>
      <c r="F74" s="10">
        <v>0.44999999999999996</v>
      </c>
      <c r="G74" s="10">
        <v>0.98</v>
      </c>
      <c r="H74" s="10">
        <v>1.1100000000000001</v>
      </c>
      <c r="I74" s="10">
        <v>0.62</v>
      </c>
      <c r="J74" s="10">
        <v>0.1</v>
      </c>
      <c r="K74" s="10">
        <v>0.21</v>
      </c>
      <c r="L74" s="10">
        <v>0.87</v>
      </c>
      <c r="M74" s="10">
        <v>0.1</v>
      </c>
      <c r="N74" s="10">
        <v>0.14000000000000001</v>
      </c>
      <c r="O74" s="10">
        <v>0.25</v>
      </c>
      <c r="P74" s="10">
        <v>0.21</v>
      </c>
      <c r="Q74" s="10">
        <v>1.03</v>
      </c>
      <c r="R74" s="10">
        <v>0.81</v>
      </c>
      <c r="S74" s="10">
        <v>0.5</v>
      </c>
      <c r="T74" s="10">
        <v>0.46</v>
      </c>
    </row>
    <row r="75" spans="1:20" x14ac:dyDescent="0.2">
      <c r="A75" s="8">
        <v>71</v>
      </c>
      <c r="B75" s="10">
        <v>0.9</v>
      </c>
      <c r="C75" s="10">
        <v>0.29000000000000004</v>
      </c>
      <c r="D75" s="10">
        <v>0.14999999999999991</v>
      </c>
      <c r="E75" s="10">
        <v>0.5</v>
      </c>
      <c r="F75" s="10">
        <v>0.30000000000000004</v>
      </c>
      <c r="G75" s="10">
        <v>1.1399999999999999</v>
      </c>
      <c r="H75" s="10">
        <v>0.93</v>
      </c>
      <c r="I75" s="10">
        <v>0.89</v>
      </c>
      <c r="J75" s="10">
        <v>0.33</v>
      </c>
      <c r="K75" s="10">
        <v>0.36</v>
      </c>
      <c r="L75" s="10">
        <v>0.85</v>
      </c>
      <c r="M75" s="10">
        <v>0.1</v>
      </c>
      <c r="N75" s="10">
        <v>0.21</v>
      </c>
      <c r="O75" s="10">
        <v>0.2</v>
      </c>
      <c r="P75" s="10">
        <v>0.24</v>
      </c>
      <c r="Q75" s="10">
        <v>1.08</v>
      </c>
      <c r="R75" s="10">
        <v>0.79</v>
      </c>
      <c r="S75" s="10">
        <v>0.34</v>
      </c>
      <c r="T75" s="10">
        <v>0.43</v>
      </c>
    </row>
    <row r="76" spans="1:20" x14ac:dyDescent="0.2">
      <c r="A76" s="8">
        <v>72</v>
      </c>
      <c r="B76" s="10">
        <v>1.05</v>
      </c>
      <c r="C76" s="10">
        <v>0</v>
      </c>
      <c r="D76" s="10">
        <v>0.12000000000000011</v>
      </c>
      <c r="E76" s="10">
        <v>0.3600000000000001</v>
      </c>
      <c r="F76" s="10">
        <v>0.41999999999999993</v>
      </c>
      <c r="G76" s="10">
        <v>1.22</v>
      </c>
      <c r="H76" s="10">
        <v>1.21</v>
      </c>
      <c r="I76" s="10">
        <v>0.62</v>
      </c>
      <c r="J76" s="10">
        <v>0.11</v>
      </c>
      <c r="K76" s="10">
        <v>0.18</v>
      </c>
      <c r="L76" s="10">
        <v>0.69</v>
      </c>
      <c r="M76" s="10">
        <v>0.37</v>
      </c>
      <c r="N76" s="10">
        <v>0.4</v>
      </c>
      <c r="O76" s="10">
        <v>0.28000000000000003</v>
      </c>
      <c r="P76" s="10">
        <v>0.21</v>
      </c>
      <c r="Q76" s="10">
        <v>1.0900000000000001</v>
      </c>
      <c r="R76" s="10">
        <v>0.79</v>
      </c>
      <c r="S76" s="10">
        <v>0.74</v>
      </c>
      <c r="T76" s="10">
        <v>0.3</v>
      </c>
    </row>
    <row r="77" spans="1:20" x14ac:dyDescent="0.2">
      <c r="A77" s="8">
        <v>73</v>
      </c>
      <c r="B77" s="10">
        <v>0.96</v>
      </c>
      <c r="C77" s="10">
        <v>0.14999999999999991</v>
      </c>
      <c r="D77" s="10">
        <v>5.0000000000000044E-2</v>
      </c>
      <c r="E77" s="10">
        <v>0.47</v>
      </c>
      <c r="F77" s="10">
        <v>0.33000000000000007</v>
      </c>
      <c r="G77" s="10">
        <v>0.66</v>
      </c>
      <c r="H77" s="10">
        <v>0.71</v>
      </c>
      <c r="I77" s="10">
        <v>0.9</v>
      </c>
      <c r="J77" s="10">
        <v>0.31</v>
      </c>
      <c r="K77" s="10">
        <v>0.34</v>
      </c>
      <c r="L77" s="10">
        <v>0.75</v>
      </c>
      <c r="M77" s="10">
        <v>0.37</v>
      </c>
      <c r="N77" s="10">
        <v>0.35</v>
      </c>
      <c r="O77" s="10">
        <v>0.24</v>
      </c>
      <c r="P77" s="10">
        <v>0.23</v>
      </c>
      <c r="Q77" s="10">
        <v>1.04</v>
      </c>
      <c r="R77" s="10">
        <v>1.02</v>
      </c>
      <c r="S77" s="10">
        <v>0.93</v>
      </c>
      <c r="T77" s="10">
        <v>0.27</v>
      </c>
    </row>
    <row r="78" spans="1:20" x14ac:dyDescent="0.2">
      <c r="A78" s="8">
        <v>74</v>
      </c>
      <c r="B78" s="10">
        <v>1.24</v>
      </c>
      <c r="C78" s="10">
        <v>0.48</v>
      </c>
      <c r="D78" s="10">
        <v>0.37000000000000011</v>
      </c>
      <c r="E78" s="10">
        <v>0.39999999999999991</v>
      </c>
      <c r="F78" s="10">
        <v>0.39999999999999991</v>
      </c>
      <c r="G78" s="10">
        <v>0.62</v>
      </c>
      <c r="H78" s="10">
        <v>0.82</v>
      </c>
      <c r="I78" s="10">
        <v>0.77</v>
      </c>
      <c r="J78" s="10">
        <v>0.18</v>
      </c>
      <c r="K78" s="10">
        <v>0.14000000000000001</v>
      </c>
      <c r="L78" s="10">
        <v>0.68</v>
      </c>
      <c r="M78" s="10">
        <v>0.32</v>
      </c>
      <c r="N78" s="10">
        <v>0.22</v>
      </c>
      <c r="O78" s="10">
        <v>0.25</v>
      </c>
      <c r="P78" s="10">
        <v>0.11</v>
      </c>
      <c r="Q78" s="10">
        <v>0.85</v>
      </c>
      <c r="R78" s="10">
        <v>0.86</v>
      </c>
      <c r="S78" s="10">
        <v>0.27</v>
      </c>
      <c r="T78" s="10">
        <v>0.75</v>
      </c>
    </row>
    <row r="79" spans="1:20" x14ac:dyDescent="0.2">
      <c r="A79" s="8">
        <v>75</v>
      </c>
      <c r="B79" s="10">
        <v>0.76</v>
      </c>
      <c r="C79" s="10">
        <v>0.45999999999999996</v>
      </c>
      <c r="D79" s="10">
        <v>0.3899999999999999</v>
      </c>
      <c r="E79" s="10">
        <v>0.37000000000000011</v>
      </c>
      <c r="F79" s="10">
        <v>0.43999999999999995</v>
      </c>
      <c r="G79" s="10">
        <v>1.32</v>
      </c>
      <c r="H79" s="10">
        <v>1.24</v>
      </c>
      <c r="I79" s="10">
        <v>0.74</v>
      </c>
      <c r="J79" s="10">
        <v>0.34</v>
      </c>
      <c r="K79" s="10">
        <v>0.36</v>
      </c>
      <c r="L79" s="10">
        <v>0.75</v>
      </c>
      <c r="M79" s="10">
        <v>0.36</v>
      </c>
      <c r="N79" s="10">
        <v>0.19</v>
      </c>
      <c r="O79" s="10">
        <v>0.28000000000000003</v>
      </c>
      <c r="P79" s="10">
        <v>0.12</v>
      </c>
      <c r="Q79" s="10">
        <v>1.02</v>
      </c>
      <c r="R79" s="10">
        <v>0.89</v>
      </c>
      <c r="S79" s="10">
        <v>0.48</v>
      </c>
      <c r="T79" s="10">
        <v>0.84</v>
      </c>
    </row>
    <row r="80" spans="1:20" x14ac:dyDescent="0.2">
      <c r="A80" s="8">
        <v>76</v>
      </c>
      <c r="B80" s="10">
        <v>1.23</v>
      </c>
      <c r="C80" s="10">
        <v>1.0000000000000009E-2</v>
      </c>
      <c r="D80" s="10">
        <v>0.26</v>
      </c>
      <c r="E80" s="10">
        <v>0.3600000000000001</v>
      </c>
      <c r="F80" s="10">
        <v>0.34000000000000008</v>
      </c>
      <c r="G80" s="10">
        <v>1.34</v>
      </c>
      <c r="H80" s="10">
        <v>0.78</v>
      </c>
      <c r="I80" s="10">
        <v>0.83</v>
      </c>
      <c r="J80" s="10">
        <v>0.21</v>
      </c>
      <c r="K80" s="10">
        <v>0.15</v>
      </c>
      <c r="L80" s="10">
        <v>0.85</v>
      </c>
      <c r="M80" s="10">
        <v>0.24</v>
      </c>
      <c r="N80" s="10">
        <v>0.32</v>
      </c>
      <c r="O80" s="10">
        <v>0.25</v>
      </c>
      <c r="P80" s="10">
        <v>0.15</v>
      </c>
      <c r="Q80" s="10">
        <v>0.78</v>
      </c>
      <c r="R80" s="10">
        <v>0.89</v>
      </c>
      <c r="S80" s="10">
        <v>0.84</v>
      </c>
      <c r="T80" s="10">
        <v>0.78</v>
      </c>
    </row>
    <row r="81" spans="1:20" x14ac:dyDescent="0.2">
      <c r="A81" s="8">
        <v>77</v>
      </c>
      <c r="B81" s="10">
        <v>0.79</v>
      </c>
      <c r="C81" s="10">
        <v>1.0000000000000009E-2</v>
      </c>
      <c r="D81" s="10">
        <v>0.37999999999999989</v>
      </c>
      <c r="E81" s="10">
        <v>0.31000000000000005</v>
      </c>
      <c r="F81" s="10">
        <v>0.42999999999999994</v>
      </c>
      <c r="G81" s="10">
        <v>0.6</v>
      </c>
      <c r="H81" s="10">
        <v>0.99</v>
      </c>
      <c r="I81" s="10">
        <v>0.63</v>
      </c>
      <c r="J81" s="10">
        <v>0.32</v>
      </c>
      <c r="K81" s="10">
        <v>0.31</v>
      </c>
      <c r="L81" s="10">
        <v>0.83</v>
      </c>
      <c r="M81" s="10">
        <v>0.2</v>
      </c>
      <c r="N81" s="10">
        <v>0.33</v>
      </c>
      <c r="O81" s="10">
        <v>0.21</v>
      </c>
      <c r="P81" s="10">
        <v>0.13</v>
      </c>
      <c r="Q81" s="10">
        <v>0.98</v>
      </c>
      <c r="R81" s="10">
        <v>0.96</v>
      </c>
      <c r="S81" s="10">
        <v>0.85</v>
      </c>
      <c r="T81" s="10">
        <v>0.85</v>
      </c>
    </row>
    <row r="82" spans="1:20" x14ac:dyDescent="0.2">
      <c r="A82" s="8">
        <v>78</v>
      </c>
      <c r="B82" s="10">
        <v>1.01</v>
      </c>
      <c r="C82" s="10">
        <v>0.37000000000000011</v>
      </c>
      <c r="D82" s="10">
        <v>2.0000000000000018E-2</v>
      </c>
      <c r="E82" s="10">
        <v>0.40999999999999992</v>
      </c>
      <c r="F82" s="10">
        <v>0.30000000000000004</v>
      </c>
      <c r="G82" s="10">
        <v>0.83</v>
      </c>
      <c r="H82" s="10">
        <v>1.36</v>
      </c>
      <c r="I82" s="10">
        <v>0.79</v>
      </c>
      <c r="J82" s="10">
        <v>0.2</v>
      </c>
      <c r="K82" s="10">
        <v>0.13</v>
      </c>
      <c r="L82" s="10">
        <v>0.9</v>
      </c>
      <c r="M82" s="10">
        <v>0.34</v>
      </c>
      <c r="N82" s="10">
        <v>0.13</v>
      </c>
      <c r="O82" s="10">
        <v>0.15</v>
      </c>
      <c r="P82" s="10">
        <v>0.24</v>
      </c>
      <c r="Q82" s="10">
        <v>1.2</v>
      </c>
      <c r="R82" s="10">
        <v>0.87</v>
      </c>
      <c r="S82" s="10">
        <v>0.38</v>
      </c>
      <c r="T82" s="10">
        <v>0.65</v>
      </c>
    </row>
    <row r="83" spans="1:20" x14ac:dyDescent="0.2">
      <c r="A83" s="8">
        <v>79</v>
      </c>
      <c r="B83" s="10">
        <v>0.88</v>
      </c>
      <c r="C83" s="10">
        <v>0.3899999999999999</v>
      </c>
      <c r="D83" s="10">
        <v>4.0000000000000036E-2</v>
      </c>
      <c r="E83" s="10">
        <v>0.32000000000000006</v>
      </c>
      <c r="F83" s="10">
        <v>0.45999999999999996</v>
      </c>
      <c r="G83" s="10">
        <v>1.21</v>
      </c>
      <c r="H83" s="10">
        <v>0.67</v>
      </c>
      <c r="I83" s="10">
        <v>0.74</v>
      </c>
      <c r="J83" s="10">
        <v>0.34</v>
      </c>
      <c r="K83" s="10">
        <v>0.28000000000000003</v>
      </c>
      <c r="L83" s="10">
        <v>0.9</v>
      </c>
      <c r="M83" s="10">
        <v>0.3</v>
      </c>
      <c r="N83" s="10">
        <v>0.15</v>
      </c>
      <c r="O83" s="10">
        <v>0.11</v>
      </c>
      <c r="P83" s="10">
        <v>0.23</v>
      </c>
      <c r="Q83" s="10">
        <v>1.1399999999999999</v>
      </c>
      <c r="R83" s="10">
        <v>0.91</v>
      </c>
      <c r="S83" s="10">
        <v>0.64</v>
      </c>
      <c r="T83" s="10">
        <v>0.63</v>
      </c>
    </row>
    <row r="84" spans="1:20" x14ac:dyDescent="0.2">
      <c r="A84" s="8">
        <v>80</v>
      </c>
      <c r="B84" s="10">
        <v>1.1200000000000001</v>
      </c>
      <c r="C84" s="10">
        <v>0.24</v>
      </c>
      <c r="D84" s="10">
        <v>1.0000000000000009E-2</v>
      </c>
      <c r="E84" s="10">
        <v>0.3899999999999999</v>
      </c>
      <c r="F84" s="10">
        <v>0.27</v>
      </c>
      <c r="G84" s="10">
        <v>1.23</v>
      </c>
      <c r="H84" s="10">
        <v>1.38</v>
      </c>
      <c r="I84" s="10">
        <v>0.86</v>
      </c>
      <c r="J84" s="10">
        <v>0.1</v>
      </c>
      <c r="K84" s="10">
        <v>0.16</v>
      </c>
      <c r="L84" s="10">
        <v>0.65</v>
      </c>
      <c r="M84" s="10">
        <v>0.18</v>
      </c>
      <c r="N84" s="10">
        <v>0.33</v>
      </c>
      <c r="O84" s="10">
        <v>0.2</v>
      </c>
      <c r="P84" s="10">
        <v>0.24</v>
      </c>
      <c r="Q84" s="10">
        <v>1.21</v>
      </c>
      <c r="R84" s="10">
        <v>0.94</v>
      </c>
      <c r="S84" s="10">
        <v>0.92</v>
      </c>
      <c r="T84" s="10">
        <v>0.89</v>
      </c>
    </row>
    <row r="85" spans="1:20" x14ac:dyDescent="0.2">
      <c r="A85" s="8">
        <v>81</v>
      </c>
      <c r="B85" s="10">
        <v>0.86</v>
      </c>
      <c r="C85" s="10">
        <v>0.12999999999999989</v>
      </c>
      <c r="D85" s="10">
        <v>1.0000000000000009E-2</v>
      </c>
      <c r="E85" s="10">
        <v>0.48</v>
      </c>
      <c r="F85" s="10">
        <v>0.40999999999999992</v>
      </c>
      <c r="G85" s="10">
        <v>0.99</v>
      </c>
      <c r="H85" s="10">
        <v>0.62</v>
      </c>
      <c r="I85" s="10">
        <v>0.68</v>
      </c>
      <c r="J85" s="10">
        <v>0.33</v>
      </c>
      <c r="K85" s="10">
        <v>0.27</v>
      </c>
      <c r="L85" s="10">
        <v>0.61</v>
      </c>
      <c r="M85" s="10">
        <v>0.21</v>
      </c>
      <c r="N85" s="10">
        <v>0.3</v>
      </c>
      <c r="O85" s="10">
        <v>0.18</v>
      </c>
      <c r="P85" s="10">
        <v>0.25</v>
      </c>
      <c r="Q85" s="10">
        <v>1.21</v>
      </c>
      <c r="R85" s="10">
        <v>0.76</v>
      </c>
      <c r="S85" s="10">
        <v>0.72</v>
      </c>
      <c r="T85" s="10">
        <v>0.56999999999999995</v>
      </c>
    </row>
    <row r="86" spans="1:20" x14ac:dyDescent="0.2">
      <c r="A86" s="8">
        <v>82</v>
      </c>
      <c r="B86" s="10">
        <v>1.1399999999999999</v>
      </c>
      <c r="C86" s="10">
        <v>0.40999999999999992</v>
      </c>
      <c r="D86" s="10">
        <v>0.39999999999999991</v>
      </c>
      <c r="E86" s="10">
        <v>0.12999999999999989</v>
      </c>
      <c r="F86" s="10">
        <v>0.48</v>
      </c>
      <c r="G86" s="10">
        <v>0.84</v>
      </c>
      <c r="H86" s="10">
        <v>0.85</v>
      </c>
      <c r="I86" s="10">
        <v>0.75</v>
      </c>
      <c r="J86" s="10">
        <v>0.34</v>
      </c>
      <c r="K86" s="10">
        <v>0.22</v>
      </c>
      <c r="L86" s="10">
        <v>0.71</v>
      </c>
      <c r="M86" s="10">
        <v>0.22</v>
      </c>
      <c r="N86" s="10">
        <v>0.34</v>
      </c>
      <c r="O86" s="10">
        <v>0.1</v>
      </c>
      <c r="P86" s="10">
        <v>0.28999999999999998</v>
      </c>
      <c r="Q86" s="10">
        <v>0.86</v>
      </c>
      <c r="R86" s="10">
        <v>1.21</v>
      </c>
      <c r="S86" s="10">
        <v>0.33</v>
      </c>
      <c r="T86" s="10">
        <v>0.38</v>
      </c>
    </row>
    <row r="87" spans="1:20" x14ac:dyDescent="0.2">
      <c r="A87" s="8">
        <v>83</v>
      </c>
      <c r="B87" s="10">
        <v>0.77</v>
      </c>
      <c r="C87" s="10">
        <v>0.32000000000000006</v>
      </c>
      <c r="D87" s="10">
        <v>0.37000000000000011</v>
      </c>
      <c r="E87" s="10">
        <v>0.1100000000000001</v>
      </c>
      <c r="F87" s="10">
        <v>0.29000000000000004</v>
      </c>
      <c r="G87" s="10">
        <v>1.24</v>
      </c>
      <c r="H87" s="10">
        <v>1.28</v>
      </c>
      <c r="I87" s="10">
        <v>0.76</v>
      </c>
      <c r="J87" s="10">
        <v>0.18</v>
      </c>
      <c r="K87" s="10">
        <v>0.39</v>
      </c>
      <c r="L87" s="10">
        <v>0.72</v>
      </c>
      <c r="M87" s="10">
        <v>0.18</v>
      </c>
      <c r="N87" s="10">
        <v>0.27</v>
      </c>
      <c r="O87" s="10">
        <v>0.18</v>
      </c>
      <c r="P87" s="10">
        <v>0.28000000000000003</v>
      </c>
      <c r="Q87" s="10">
        <v>0.91</v>
      </c>
      <c r="R87" s="10">
        <v>1.01</v>
      </c>
      <c r="S87" s="10">
        <v>0.42</v>
      </c>
      <c r="T87" s="10">
        <v>0.28999999999999998</v>
      </c>
    </row>
    <row r="88" spans="1:20" x14ac:dyDescent="0.2">
      <c r="A88" s="8">
        <v>84</v>
      </c>
      <c r="B88" s="10">
        <v>1.1599999999999999</v>
      </c>
      <c r="C88" s="10">
        <v>0.1100000000000001</v>
      </c>
      <c r="D88" s="10">
        <v>0.3600000000000001</v>
      </c>
      <c r="E88" s="10">
        <v>0.24</v>
      </c>
      <c r="F88" s="10">
        <v>0.3899999999999999</v>
      </c>
      <c r="G88" s="10">
        <v>1.38</v>
      </c>
      <c r="H88" s="10">
        <v>0.86</v>
      </c>
      <c r="I88" s="10">
        <v>0.74</v>
      </c>
      <c r="J88" s="10">
        <v>0.33</v>
      </c>
      <c r="K88" s="10">
        <v>0.12</v>
      </c>
      <c r="L88" s="10">
        <v>0.81</v>
      </c>
      <c r="M88" s="10">
        <v>0.25</v>
      </c>
      <c r="N88" s="10">
        <v>0.19</v>
      </c>
      <c r="O88" s="10">
        <v>0.11</v>
      </c>
      <c r="P88" s="10">
        <v>0.28999999999999998</v>
      </c>
      <c r="Q88" s="10">
        <v>0.91</v>
      </c>
      <c r="R88" s="10">
        <v>1.22</v>
      </c>
      <c r="S88" s="10">
        <v>0.69</v>
      </c>
      <c r="T88" s="10">
        <v>0.71</v>
      </c>
    </row>
    <row r="89" spans="1:20" x14ac:dyDescent="0.2">
      <c r="A89" s="8">
        <v>85</v>
      </c>
      <c r="B89" s="10">
        <v>0.93</v>
      </c>
      <c r="C89" s="10">
        <v>2.0000000000000018E-2</v>
      </c>
      <c r="D89" s="10">
        <v>0.31000000000000005</v>
      </c>
      <c r="E89" s="10">
        <v>0.12999999999999989</v>
      </c>
      <c r="F89" s="10">
        <v>0.43999999999999995</v>
      </c>
      <c r="G89" s="10">
        <v>0.76</v>
      </c>
      <c r="H89" s="10">
        <v>1.1299999999999999</v>
      </c>
      <c r="I89" s="10">
        <v>0.85</v>
      </c>
      <c r="J89" s="10">
        <v>0.24</v>
      </c>
      <c r="K89" s="10">
        <v>0.33</v>
      </c>
      <c r="L89" s="10">
        <v>0.88</v>
      </c>
      <c r="M89" s="10">
        <v>0.26</v>
      </c>
      <c r="N89" s="10">
        <v>0.2</v>
      </c>
      <c r="O89" s="10">
        <v>0.18</v>
      </c>
      <c r="P89" s="10">
        <v>0.3</v>
      </c>
      <c r="Q89" s="10">
        <v>0.95</v>
      </c>
      <c r="R89" s="10">
        <v>1.07</v>
      </c>
      <c r="S89" s="10">
        <v>0.96</v>
      </c>
      <c r="T89" s="10">
        <v>0.61</v>
      </c>
    </row>
    <row r="90" spans="1:20" x14ac:dyDescent="0.2">
      <c r="A90" s="8">
        <v>86</v>
      </c>
      <c r="B90" s="10">
        <v>1.1100000000000001</v>
      </c>
      <c r="C90" s="10">
        <v>0.39999999999999991</v>
      </c>
      <c r="D90" s="10">
        <v>9.000000000000008E-2</v>
      </c>
      <c r="E90" s="10">
        <v>2.0000000000000018E-2</v>
      </c>
      <c r="F90" s="10">
        <v>0.25</v>
      </c>
      <c r="G90" s="10">
        <v>0.87</v>
      </c>
      <c r="H90" s="10">
        <v>1.1599999999999999</v>
      </c>
      <c r="I90" s="10">
        <v>0.6</v>
      </c>
      <c r="J90" s="10">
        <v>0.37</v>
      </c>
      <c r="K90" s="10">
        <v>0.21</v>
      </c>
      <c r="L90" s="10">
        <v>0.85</v>
      </c>
      <c r="M90" s="10">
        <v>0.11</v>
      </c>
      <c r="N90" s="10">
        <v>0.4</v>
      </c>
      <c r="O90" s="10">
        <v>0.21</v>
      </c>
      <c r="P90" s="10">
        <v>0.14000000000000001</v>
      </c>
      <c r="Q90" s="10">
        <v>1.21</v>
      </c>
      <c r="R90" s="10">
        <v>1.2</v>
      </c>
      <c r="S90" s="10">
        <v>0.5</v>
      </c>
      <c r="T90" s="10">
        <v>0.26</v>
      </c>
    </row>
    <row r="91" spans="1:20" x14ac:dyDescent="0.2">
      <c r="A91" s="8">
        <v>87</v>
      </c>
      <c r="B91" s="10">
        <v>0.94</v>
      </c>
      <c r="C91" s="10">
        <v>0.37000000000000011</v>
      </c>
      <c r="D91" s="10">
        <v>0.17999999999999994</v>
      </c>
      <c r="E91" s="10">
        <v>4.0000000000000036E-2</v>
      </c>
      <c r="F91" s="10">
        <v>0.31000000000000005</v>
      </c>
      <c r="G91" s="10">
        <v>1.3</v>
      </c>
      <c r="H91" s="10">
        <v>0.71</v>
      </c>
      <c r="I91" s="10">
        <v>0.82</v>
      </c>
      <c r="J91" s="10">
        <v>0.11</v>
      </c>
      <c r="K91" s="10">
        <v>0.23</v>
      </c>
      <c r="L91" s="10">
        <v>0.89</v>
      </c>
      <c r="M91" s="10">
        <v>0.23</v>
      </c>
      <c r="N91" s="10">
        <v>0.4</v>
      </c>
      <c r="O91" s="10">
        <v>0.28000000000000003</v>
      </c>
      <c r="P91" s="10">
        <v>0.19</v>
      </c>
      <c r="Q91" s="10">
        <v>1.06</v>
      </c>
      <c r="R91" s="10">
        <v>1.1599999999999999</v>
      </c>
      <c r="S91" s="10">
        <v>0.54</v>
      </c>
      <c r="T91" s="10">
        <v>0.34</v>
      </c>
    </row>
    <row r="92" spans="1:20" x14ac:dyDescent="0.2">
      <c r="A92" s="8">
        <v>88</v>
      </c>
      <c r="B92" s="10">
        <v>1.1499999999999999</v>
      </c>
      <c r="C92" s="10">
        <v>0.1399999999999999</v>
      </c>
      <c r="D92" s="10">
        <v>0.1100000000000001</v>
      </c>
      <c r="E92" s="10">
        <v>1.0000000000000009E-2</v>
      </c>
      <c r="F92" s="10">
        <v>0.34000000000000008</v>
      </c>
      <c r="G92" s="10">
        <v>1.1299999999999999</v>
      </c>
      <c r="H92" s="10">
        <v>1.36</v>
      </c>
      <c r="I92" s="10">
        <v>0.62</v>
      </c>
      <c r="J92" s="10">
        <v>0.39</v>
      </c>
      <c r="K92" s="10">
        <v>0.14000000000000001</v>
      </c>
      <c r="L92" s="10">
        <v>0.66</v>
      </c>
      <c r="M92" s="10">
        <v>0.39</v>
      </c>
      <c r="N92" s="10">
        <v>0.13</v>
      </c>
      <c r="O92" s="10">
        <v>0.22</v>
      </c>
      <c r="P92" s="10">
        <v>0.14000000000000001</v>
      </c>
      <c r="Q92" s="10">
        <v>0.98</v>
      </c>
      <c r="R92" s="10">
        <v>1.17</v>
      </c>
      <c r="S92" s="10">
        <v>0.81</v>
      </c>
      <c r="T92" s="10">
        <v>0.39</v>
      </c>
    </row>
    <row r="93" spans="1:20" x14ac:dyDescent="0.2">
      <c r="A93" s="8">
        <v>89</v>
      </c>
      <c r="B93" s="10">
        <v>0.88</v>
      </c>
      <c r="C93" s="10">
        <v>0.18999999999999995</v>
      </c>
      <c r="D93" s="10">
        <v>2.0000000000000018E-2</v>
      </c>
      <c r="E93" s="10">
        <v>1.0000000000000009E-2</v>
      </c>
      <c r="F93" s="10">
        <v>0.40999999999999992</v>
      </c>
      <c r="G93" s="10">
        <v>0.9</v>
      </c>
      <c r="H93" s="10">
        <v>0.75</v>
      </c>
      <c r="I93" s="10">
        <v>0.82</v>
      </c>
      <c r="J93" s="10">
        <v>0.1</v>
      </c>
      <c r="K93" s="10">
        <v>0.28000000000000003</v>
      </c>
      <c r="L93" s="10">
        <v>0.71</v>
      </c>
      <c r="M93" s="10">
        <v>0.36</v>
      </c>
      <c r="N93" s="10">
        <v>0.12</v>
      </c>
      <c r="O93" s="10">
        <v>0.24</v>
      </c>
      <c r="P93" s="10">
        <v>0.17</v>
      </c>
      <c r="Q93" s="10">
        <v>1.1299999999999999</v>
      </c>
      <c r="R93" s="10">
        <v>1.24</v>
      </c>
      <c r="S93" s="10">
        <v>0.67</v>
      </c>
      <c r="T93" s="10">
        <v>0.52</v>
      </c>
    </row>
    <row r="94" spans="1:20" x14ac:dyDescent="0.2">
      <c r="A94" s="8">
        <v>90</v>
      </c>
      <c r="B94" s="10">
        <v>1.1100000000000001</v>
      </c>
      <c r="C94" s="10">
        <v>0.37999999999999989</v>
      </c>
      <c r="D94" s="10">
        <v>0.27</v>
      </c>
      <c r="E94" s="10">
        <v>0.19999999999999996</v>
      </c>
      <c r="F94" s="10">
        <v>0.34000000000000008</v>
      </c>
      <c r="G94" s="10">
        <v>0.61</v>
      </c>
      <c r="H94" s="10">
        <v>1.03</v>
      </c>
      <c r="I94" s="10">
        <v>0.82</v>
      </c>
      <c r="J94" s="10">
        <v>0.27</v>
      </c>
      <c r="K94" s="10">
        <v>0.15</v>
      </c>
      <c r="L94" s="10">
        <v>0.74</v>
      </c>
      <c r="M94" s="10">
        <v>0.27</v>
      </c>
      <c r="N94" s="10">
        <v>0.32</v>
      </c>
      <c r="O94" s="10">
        <v>0.28000000000000003</v>
      </c>
      <c r="P94" s="10">
        <v>0.28999999999999998</v>
      </c>
      <c r="Q94" s="10">
        <v>0.84</v>
      </c>
      <c r="R94" s="10">
        <v>1.08</v>
      </c>
      <c r="S94" s="10">
        <v>0.31</v>
      </c>
      <c r="T94" s="10">
        <v>0.9</v>
      </c>
    </row>
    <row r="95" spans="1:20" x14ac:dyDescent="0.2">
      <c r="A95" s="8">
        <v>91</v>
      </c>
      <c r="B95" s="10">
        <v>0.78</v>
      </c>
      <c r="C95" s="10">
        <v>0.5</v>
      </c>
      <c r="D95" s="10">
        <v>0.27</v>
      </c>
      <c r="E95" s="10">
        <v>0.20999999999999996</v>
      </c>
      <c r="F95" s="10">
        <v>0.42999999999999994</v>
      </c>
      <c r="G95" s="10">
        <v>1.17</v>
      </c>
      <c r="H95" s="10">
        <v>1.0900000000000001</v>
      </c>
      <c r="I95" s="10">
        <v>0.66</v>
      </c>
      <c r="J95" s="10">
        <v>0.21</v>
      </c>
      <c r="K95" s="10">
        <v>0.31</v>
      </c>
      <c r="L95" s="10">
        <v>0.7</v>
      </c>
      <c r="M95" s="10">
        <v>0.3</v>
      </c>
      <c r="N95" s="10">
        <v>0.39</v>
      </c>
      <c r="O95" s="10">
        <v>0.26</v>
      </c>
      <c r="P95" s="10">
        <v>0.23</v>
      </c>
      <c r="Q95" s="10">
        <v>0.8</v>
      </c>
      <c r="R95" s="10">
        <v>1.18</v>
      </c>
      <c r="S95" s="10">
        <v>0.3</v>
      </c>
      <c r="T95" s="10">
        <v>0.72</v>
      </c>
    </row>
    <row r="96" spans="1:20" x14ac:dyDescent="0.2">
      <c r="A96" s="8">
        <v>92</v>
      </c>
      <c r="B96" s="10">
        <v>1.1299999999999999</v>
      </c>
      <c r="C96" s="10">
        <v>0.1399999999999999</v>
      </c>
      <c r="D96" s="10">
        <v>0.3600000000000001</v>
      </c>
      <c r="E96" s="10">
        <v>0</v>
      </c>
      <c r="F96" s="10">
        <v>0.47</v>
      </c>
      <c r="G96" s="10">
        <v>1.31</v>
      </c>
      <c r="H96" s="10">
        <v>0.92</v>
      </c>
      <c r="I96" s="10">
        <v>0.81</v>
      </c>
      <c r="J96" s="10">
        <v>0.31</v>
      </c>
      <c r="K96" s="10">
        <v>0.15</v>
      </c>
      <c r="L96" s="10">
        <v>0.76</v>
      </c>
      <c r="M96" s="10">
        <v>0.19</v>
      </c>
      <c r="N96" s="10">
        <v>0.25</v>
      </c>
      <c r="O96" s="10">
        <v>0.27</v>
      </c>
      <c r="P96" s="10">
        <v>0.22</v>
      </c>
      <c r="Q96" s="10">
        <v>0.96</v>
      </c>
      <c r="R96" s="10">
        <v>1</v>
      </c>
      <c r="S96" s="10">
        <v>0.9</v>
      </c>
      <c r="T96" s="10">
        <v>0.83</v>
      </c>
    </row>
    <row r="97" spans="1:20" x14ac:dyDescent="0.2">
      <c r="A97" s="8">
        <v>93</v>
      </c>
      <c r="B97" s="10">
        <v>0.75</v>
      </c>
      <c r="C97" s="10">
        <v>3.0000000000000027E-2</v>
      </c>
      <c r="D97" s="10">
        <v>0.32000000000000006</v>
      </c>
      <c r="E97" s="10">
        <v>0.14999999999999991</v>
      </c>
      <c r="F97" s="10">
        <v>0.41999999999999993</v>
      </c>
      <c r="G97" s="10">
        <v>0.8</v>
      </c>
      <c r="H97" s="10">
        <v>1.18</v>
      </c>
      <c r="I97" s="10">
        <v>0.72</v>
      </c>
      <c r="J97" s="10">
        <v>0.11</v>
      </c>
      <c r="K97" s="10">
        <v>0.38</v>
      </c>
      <c r="L97" s="10">
        <v>0.81</v>
      </c>
      <c r="M97" s="10">
        <v>0.16</v>
      </c>
      <c r="N97" s="10">
        <v>0.22</v>
      </c>
      <c r="O97" s="10">
        <v>0.28999999999999998</v>
      </c>
      <c r="P97" s="10">
        <v>0.2</v>
      </c>
      <c r="Q97" s="10">
        <v>0.89</v>
      </c>
      <c r="R97" s="10">
        <v>1.1399999999999999</v>
      </c>
      <c r="S97" s="10">
        <v>0.77</v>
      </c>
      <c r="T97" s="10">
        <v>0.67</v>
      </c>
    </row>
    <row r="98" spans="1:20" x14ac:dyDescent="0.2">
      <c r="A98" s="8">
        <v>94</v>
      </c>
      <c r="B98" s="10">
        <v>1.1100000000000001</v>
      </c>
      <c r="C98" s="10">
        <v>0.27</v>
      </c>
      <c r="D98" s="10">
        <v>0.12000000000000011</v>
      </c>
      <c r="E98" s="10">
        <v>0.21999999999999997</v>
      </c>
      <c r="F98" s="10">
        <v>0.32000000000000006</v>
      </c>
      <c r="G98" s="10">
        <v>0.97</v>
      </c>
      <c r="H98" s="10">
        <v>1.4</v>
      </c>
      <c r="I98" s="10">
        <v>0.79</v>
      </c>
      <c r="J98" s="10">
        <v>0.31</v>
      </c>
      <c r="K98" s="10">
        <v>0.26</v>
      </c>
      <c r="L98" s="10">
        <v>0.89</v>
      </c>
      <c r="M98" s="10">
        <v>0.38</v>
      </c>
      <c r="N98" s="10">
        <v>0.39</v>
      </c>
      <c r="O98" s="10">
        <v>0.17</v>
      </c>
      <c r="P98" s="10">
        <v>0.15</v>
      </c>
      <c r="Q98" s="10">
        <v>1.19</v>
      </c>
      <c r="R98" s="10">
        <v>1.03</v>
      </c>
      <c r="S98" s="10">
        <v>0.34</v>
      </c>
      <c r="T98" s="10">
        <v>0.94</v>
      </c>
    </row>
    <row r="99" spans="1:20" x14ac:dyDescent="0.2">
      <c r="A99" s="8">
        <v>95</v>
      </c>
      <c r="B99" s="10">
        <v>0.93</v>
      </c>
      <c r="C99" s="10">
        <v>0.27</v>
      </c>
      <c r="D99" s="10">
        <v>0</v>
      </c>
      <c r="E99" s="10">
        <v>0.14999999999999991</v>
      </c>
      <c r="F99" s="10">
        <v>0.26</v>
      </c>
      <c r="G99" s="10">
        <v>1.06</v>
      </c>
      <c r="H99" s="10">
        <v>0.81</v>
      </c>
      <c r="I99" s="10">
        <v>0.63</v>
      </c>
      <c r="J99" s="10">
        <v>0.23</v>
      </c>
      <c r="K99" s="10">
        <v>0.28999999999999998</v>
      </c>
      <c r="L99" s="10">
        <v>0.81</v>
      </c>
      <c r="M99" s="10">
        <v>0.36</v>
      </c>
      <c r="N99" s="10">
        <v>0.28999999999999998</v>
      </c>
      <c r="O99" s="10">
        <v>0.16</v>
      </c>
      <c r="P99" s="10">
        <v>0.1</v>
      </c>
      <c r="Q99" s="10">
        <v>1.23</v>
      </c>
      <c r="R99" s="10">
        <v>1.07</v>
      </c>
      <c r="S99" s="10">
        <v>0.37</v>
      </c>
      <c r="T99" s="10">
        <v>0.77</v>
      </c>
    </row>
    <row r="100" spans="1:20" x14ac:dyDescent="0.2">
      <c r="A100" s="8">
        <v>96</v>
      </c>
      <c r="B100" s="10">
        <v>1.02</v>
      </c>
      <c r="C100" s="10">
        <v>0.1399999999999999</v>
      </c>
      <c r="D100" s="10">
        <v>0.1399999999999999</v>
      </c>
      <c r="E100" s="10">
        <v>0.12000000000000011</v>
      </c>
      <c r="F100" s="10">
        <v>0.45999999999999996</v>
      </c>
      <c r="G100" s="10">
        <v>1.0900000000000001</v>
      </c>
      <c r="H100" s="10">
        <v>1.37</v>
      </c>
      <c r="I100" s="10">
        <v>0.9</v>
      </c>
      <c r="J100" s="10">
        <v>0.36</v>
      </c>
      <c r="K100" s="10">
        <v>0.14000000000000001</v>
      </c>
      <c r="L100" s="10">
        <v>0.62</v>
      </c>
      <c r="M100" s="10">
        <v>0.16</v>
      </c>
      <c r="N100" s="10">
        <v>0.24</v>
      </c>
      <c r="O100" s="10">
        <v>0.17</v>
      </c>
      <c r="P100" s="10">
        <v>0.19</v>
      </c>
      <c r="Q100" s="10">
        <v>1.22</v>
      </c>
      <c r="R100" s="10">
        <v>1.1599999999999999</v>
      </c>
      <c r="S100" s="10">
        <v>0.64</v>
      </c>
      <c r="T100" s="10">
        <v>0.61</v>
      </c>
    </row>
    <row r="101" spans="1:20" x14ac:dyDescent="0.2">
      <c r="A101" s="8">
        <v>97</v>
      </c>
      <c r="B101" s="10">
        <v>0.98</v>
      </c>
      <c r="C101" s="10">
        <v>0.17999999999999994</v>
      </c>
      <c r="D101" s="10">
        <v>3.0000000000000027E-2</v>
      </c>
      <c r="E101" s="10">
        <v>5.0000000000000044E-2</v>
      </c>
      <c r="F101" s="10">
        <v>0.42999999999999994</v>
      </c>
      <c r="G101" s="10">
        <v>0.81</v>
      </c>
      <c r="H101" s="10">
        <v>0.87</v>
      </c>
      <c r="I101" s="10">
        <v>0.67</v>
      </c>
      <c r="J101" s="10">
        <v>0.17</v>
      </c>
      <c r="K101" s="10">
        <v>0.39</v>
      </c>
      <c r="L101" s="10">
        <v>0.68</v>
      </c>
      <c r="M101" s="10">
        <v>0.19</v>
      </c>
      <c r="N101" s="10">
        <v>0.2</v>
      </c>
      <c r="O101" s="10">
        <v>0.16</v>
      </c>
      <c r="P101" s="10">
        <v>0.15</v>
      </c>
      <c r="Q101" s="10">
        <v>1.1200000000000001</v>
      </c>
      <c r="R101" s="10">
        <v>1.05</v>
      </c>
      <c r="S101" s="10">
        <v>0.78</v>
      </c>
      <c r="T101" s="10">
        <v>0.97</v>
      </c>
    </row>
    <row r="102" spans="1:20" x14ac:dyDescent="0.2">
      <c r="A102" s="8">
        <v>98</v>
      </c>
      <c r="B102" s="10">
        <v>1.21</v>
      </c>
      <c r="C102" s="10">
        <v>0.32000000000000006</v>
      </c>
      <c r="D102" s="10">
        <v>0.34000000000000008</v>
      </c>
      <c r="E102" s="10">
        <v>0.33000000000000007</v>
      </c>
      <c r="F102" s="10">
        <v>0.22999999999999998</v>
      </c>
      <c r="G102" s="10">
        <v>1.01</v>
      </c>
      <c r="H102" s="10">
        <v>0.68</v>
      </c>
      <c r="I102" s="10">
        <v>0.73</v>
      </c>
      <c r="J102" s="10">
        <v>0.13</v>
      </c>
      <c r="K102" s="10">
        <v>0.25</v>
      </c>
      <c r="L102" s="10">
        <v>0.63</v>
      </c>
      <c r="M102" s="10">
        <v>0.18</v>
      </c>
      <c r="N102" s="10">
        <v>0.23</v>
      </c>
      <c r="O102" s="10">
        <v>0.13</v>
      </c>
      <c r="P102" s="10">
        <v>0.17</v>
      </c>
      <c r="Q102" s="10">
        <v>1.2</v>
      </c>
      <c r="R102" s="10">
        <v>1.23</v>
      </c>
      <c r="S102" s="10">
        <v>0.7</v>
      </c>
      <c r="T102" s="10">
        <v>1</v>
      </c>
    </row>
    <row r="103" spans="1:20" x14ac:dyDescent="0.2">
      <c r="A103" s="8">
        <v>99</v>
      </c>
      <c r="B103" s="10">
        <v>0.82</v>
      </c>
      <c r="C103" s="10">
        <v>0.26</v>
      </c>
      <c r="D103" s="10">
        <v>0.42999999999999994</v>
      </c>
      <c r="E103" s="10">
        <v>0.44999999999999996</v>
      </c>
      <c r="F103" s="10">
        <v>0.22999999999999998</v>
      </c>
      <c r="G103" s="10">
        <v>1.08</v>
      </c>
      <c r="H103" s="10">
        <v>1.1000000000000001</v>
      </c>
      <c r="I103" s="10">
        <v>0.89</v>
      </c>
      <c r="J103" s="10">
        <v>0.3</v>
      </c>
      <c r="K103" s="10">
        <v>0.24</v>
      </c>
      <c r="L103" s="10">
        <v>0.63</v>
      </c>
      <c r="M103" s="10">
        <v>0.11</v>
      </c>
      <c r="N103" s="10">
        <v>0.26</v>
      </c>
      <c r="O103" s="10">
        <v>0.17</v>
      </c>
      <c r="P103" s="10">
        <v>0.13</v>
      </c>
      <c r="Q103" s="10">
        <v>1.1599999999999999</v>
      </c>
      <c r="R103" s="10">
        <v>1.1299999999999999</v>
      </c>
      <c r="S103" s="10">
        <v>0.76</v>
      </c>
      <c r="T103" s="10">
        <v>0.72</v>
      </c>
    </row>
    <row r="104" spans="1:20" x14ac:dyDescent="0.2">
      <c r="A104" s="8">
        <v>100</v>
      </c>
      <c r="B104" s="10">
        <v>1.07</v>
      </c>
      <c r="C104" s="10">
        <v>4.0000000000000036E-2</v>
      </c>
      <c r="D104" s="10">
        <v>0.47</v>
      </c>
      <c r="E104" s="10">
        <v>0.29000000000000004</v>
      </c>
      <c r="F104" s="10">
        <v>0.1399999999999999</v>
      </c>
      <c r="G104" s="10">
        <v>1.28</v>
      </c>
      <c r="H104" s="10">
        <v>0.65</v>
      </c>
      <c r="I104" s="10">
        <v>0.65</v>
      </c>
      <c r="J104" s="10">
        <v>0.24</v>
      </c>
      <c r="K104" s="10">
        <v>0.28000000000000003</v>
      </c>
      <c r="L104" s="10">
        <v>0.83</v>
      </c>
      <c r="M104" s="10">
        <v>0.3</v>
      </c>
      <c r="N104" s="10">
        <v>0.36</v>
      </c>
      <c r="O104" s="10">
        <v>0.17</v>
      </c>
      <c r="P104" s="10">
        <v>0.18</v>
      </c>
      <c r="Q104" s="10">
        <v>1.18</v>
      </c>
      <c r="R104" s="10">
        <v>1.0900000000000001</v>
      </c>
      <c r="S104" s="10">
        <v>0.59</v>
      </c>
      <c r="T104" s="10">
        <v>0.81</v>
      </c>
    </row>
    <row r="105" spans="1:20" x14ac:dyDescent="0.2">
      <c r="A105" s="8">
        <v>101</v>
      </c>
      <c r="B105" s="10">
        <v>0.99</v>
      </c>
      <c r="C105" s="10">
        <v>7.0000000000000062E-2</v>
      </c>
      <c r="D105" s="10">
        <v>0.41999999999999993</v>
      </c>
      <c r="E105" s="10">
        <v>0.28000000000000003</v>
      </c>
      <c r="F105" s="10">
        <v>0.17999999999999994</v>
      </c>
      <c r="G105" s="10">
        <v>0.64</v>
      </c>
      <c r="H105" s="10">
        <v>1.31</v>
      </c>
      <c r="I105" s="10">
        <v>0.86</v>
      </c>
      <c r="J105" s="10">
        <v>0.28000000000000003</v>
      </c>
      <c r="K105" s="10">
        <v>0.16</v>
      </c>
      <c r="L105" s="10">
        <v>0.82</v>
      </c>
      <c r="M105" s="10">
        <v>0.36</v>
      </c>
      <c r="N105" s="10">
        <v>0.34</v>
      </c>
      <c r="O105" s="10">
        <v>0.18</v>
      </c>
      <c r="P105" s="10">
        <v>0.16</v>
      </c>
      <c r="Q105" s="10">
        <v>1.08</v>
      </c>
      <c r="R105" s="10">
        <v>1.04</v>
      </c>
      <c r="S105" s="10">
        <v>0.55000000000000004</v>
      </c>
      <c r="T105" s="10">
        <v>0.92</v>
      </c>
    </row>
    <row r="106" spans="1:20" x14ac:dyDescent="0.2">
      <c r="A106" s="8">
        <v>102</v>
      </c>
      <c r="B106" s="10">
        <v>1.22</v>
      </c>
      <c r="C106" s="10">
        <v>0.34000000000000008</v>
      </c>
      <c r="D106" s="10">
        <v>0.17999999999999994</v>
      </c>
      <c r="E106" s="10">
        <v>0.44999999999999996</v>
      </c>
      <c r="F106" s="10">
        <v>0.12000000000000011</v>
      </c>
      <c r="G106" s="10">
        <v>0.73</v>
      </c>
      <c r="H106" s="10">
        <v>1.02</v>
      </c>
      <c r="I106" s="10">
        <v>0.7</v>
      </c>
      <c r="J106" s="10">
        <v>0.22</v>
      </c>
      <c r="K106" s="10">
        <v>0.4</v>
      </c>
      <c r="L106" s="10">
        <v>0.83</v>
      </c>
      <c r="M106" s="10">
        <v>0.17</v>
      </c>
      <c r="N106" s="10">
        <v>0.18</v>
      </c>
      <c r="O106" s="10">
        <v>0.25</v>
      </c>
      <c r="P106" s="10">
        <v>0.21</v>
      </c>
      <c r="Q106" s="10">
        <v>0.99</v>
      </c>
      <c r="R106" s="10">
        <v>1.1000000000000001</v>
      </c>
      <c r="S106" s="10">
        <v>0.95</v>
      </c>
      <c r="T106" s="10">
        <v>0.68</v>
      </c>
    </row>
    <row r="107" spans="1:20" x14ac:dyDescent="0.2">
      <c r="A107" s="8">
        <v>103</v>
      </c>
      <c r="B107" s="10">
        <v>0.83</v>
      </c>
      <c r="C107" s="10">
        <v>0.42999999999999994</v>
      </c>
      <c r="D107" s="10">
        <v>0.24</v>
      </c>
      <c r="E107" s="10">
        <v>0.30000000000000004</v>
      </c>
      <c r="F107" s="10">
        <v>0</v>
      </c>
      <c r="G107" s="10">
        <v>1.1599999999999999</v>
      </c>
      <c r="H107" s="10">
        <v>0.93</v>
      </c>
      <c r="I107" s="10">
        <v>0.72</v>
      </c>
      <c r="J107" s="10">
        <v>0.38</v>
      </c>
      <c r="K107" s="10">
        <v>0.17</v>
      </c>
      <c r="L107" s="10">
        <v>0.86</v>
      </c>
      <c r="M107" s="10">
        <v>0.18</v>
      </c>
      <c r="N107" s="10">
        <v>0.14000000000000001</v>
      </c>
      <c r="O107" s="10">
        <v>0.26</v>
      </c>
      <c r="P107" s="10">
        <v>0.23</v>
      </c>
      <c r="Q107" s="10">
        <v>0.93</v>
      </c>
      <c r="R107" s="10">
        <v>1.25</v>
      </c>
      <c r="S107" s="10">
        <v>0.82</v>
      </c>
      <c r="T107" s="10">
        <v>0.76</v>
      </c>
    </row>
    <row r="108" spans="1:20" x14ac:dyDescent="0.2">
      <c r="A108" s="8">
        <v>104</v>
      </c>
      <c r="B108" s="10">
        <v>1.0900000000000001</v>
      </c>
      <c r="C108" s="10">
        <v>3.0000000000000027E-2</v>
      </c>
      <c r="D108" s="10">
        <v>4.0000000000000036E-2</v>
      </c>
      <c r="E108" s="10">
        <v>0.41999999999999993</v>
      </c>
      <c r="F108" s="10">
        <v>0.1399999999999999</v>
      </c>
      <c r="G108" s="10">
        <v>1.36</v>
      </c>
      <c r="H108" s="10">
        <v>1.23</v>
      </c>
      <c r="I108" s="10">
        <v>0.64</v>
      </c>
      <c r="J108" s="10">
        <v>0.2</v>
      </c>
      <c r="K108" s="10">
        <v>0.37</v>
      </c>
      <c r="L108" s="10">
        <v>0.72</v>
      </c>
      <c r="M108" s="10">
        <v>0.28000000000000003</v>
      </c>
      <c r="N108" s="10">
        <v>0.27</v>
      </c>
      <c r="O108" s="10">
        <v>0.21</v>
      </c>
      <c r="P108" s="10">
        <v>0.27</v>
      </c>
      <c r="Q108" s="10">
        <v>0.96</v>
      </c>
      <c r="R108" s="10">
        <v>1.02</v>
      </c>
      <c r="S108" s="10">
        <v>0.27</v>
      </c>
      <c r="T108" s="10">
        <v>0.81</v>
      </c>
    </row>
    <row r="109" spans="1:20" x14ac:dyDescent="0.2">
      <c r="A109" s="8">
        <v>105</v>
      </c>
      <c r="B109" s="10">
        <v>0.82</v>
      </c>
      <c r="C109" s="10">
        <v>8.0000000000000071E-2</v>
      </c>
      <c r="D109" s="10">
        <v>7.0000000000000062E-2</v>
      </c>
      <c r="E109" s="10">
        <v>0.33000000000000007</v>
      </c>
      <c r="F109" s="10">
        <v>3.0000000000000027E-2</v>
      </c>
      <c r="G109" s="10">
        <v>0.71</v>
      </c>
      <c r="H109" s="10">
        <v>0.61</v>
      </c>
      <c r="I109" s="10">
        <v>0.79</v>
      </c>
      <c r="J109" s="10">
        <v>0.35</v>
      </c>
      <c r="K109" s="10">
        <v>0.17</v>
      </c>
      <c r="L109" s="10">
        <v>0.7</v>
      </c>
      <c r="M109" s="10">
        <v>0.24</v>
      </c>
      <c r="N109" s="10">
        <v>0.36</v>
      </c>
      <c r="O109" s="10">
        <v>0.26</v>
      </c>
      <c r="P109" s="10">
        <v>0.27</v>
      </c>
      <c r="Q109" s="10">
        <v>0.95</v>
      </c>
      <c r="R109" s="10">
        <v>1.1399999999999999</v>
      </c>
      <c r="S109" s="10">
        <v>0.47</v>
      </c>
      <c r="T109" s="10">
        <v>0.74</v>
      </c>
    </row>
    <row r="110" spans="1:20" x14ac:dyDescent="0.2">
      <c r="A110" s="8">
        <v>106</v>
      </c>
      <c r="B110" s="10">
        <v>1.0900000000000001</v>
      </c>
      <c r="C110" s="10">
        <v>0.25</v>
      </c>
      <c r="D110" s="10">
        <v>0.48</v>
      </c>
      <c r="E110" s="10">
        <v>0.39999999999999991</v>
      </c>
      <c r="F110" s="10">
        <v>0.10000000000000009</v>
      </c>
      <c r="G110" s="10">
        <v>0.86</v>
      </c>
      <c r="H110" s="10">
        <v>0.96</v>
      </c>
      <c r="I110" s="10">
        <v>0.87</v>
      </c>
      <c r="J110" s="10">
        <v>0.14000000000000001</v>
      </c>
      <c r="K110" s="10">
        <v>0.33</v>
      </c>
      <c r="L110" s="10">
        <v>0.64</v>
      </c>
      <c r="M110" s="10">
        <v>0.38</v>
      </c>
      <c r="N110" s="10">
        <v>0.12</v>
      </c>
      <c r="O110" s="10">
        <v>0.26</v>
      </c>
      <c r="P110" s="10">
        <v>0.14000000000000001</v>
      </c>
      <c r="Q110" s="10">
        <v>1.25</v>
      </c>
      <c r="R110" s="10">
        <v>1.22</v>
      </c>
      <c r="S110" s="10">
        <v>0.57999999999999996</v>
      </c>
      <c r="T110" s="10">
        <v>0.3</v>
      </c>
    </row>
    <row r="111" spans="1:20" x14ac:dyDescent="0.2">
      <c r="A111" s="8">
        <v>107</v>
      </c>
      <c r="B111" s="10">
        <v>0.84</v>
      </c>
      <c r="C111" s="10">
        <v>0.31000000000000005</v>
      </c>
      <c r="D111" s="10">
        <v>0.29000000000000004</v>
      </c>
      <c r="E111" s="10">
        <v>0.43999999999999995</v>
      </c>
      <c r="F111" s="10">
        <v>0.12999999999999989</v>
      </c>
      <c r="G111" s="10">
        <v>0.98</v>
      </c>
      <c r="H111" s="10">
        <v>1.39</v>
      </c>
      <c r="I111" s="10">
        <v>0.69</v>
      </c>
      <c r="J111" s="10">
        <v>0.35</v>
      </c>
      <c r="K111" s="10">
        <v>0.18</v>
      </c>
      <c r="L111" s="10">
        <v>0.64</v>
      </c>
      <c r="M111" s="10">
        <v>0.34</v>
      </c>
      <c r="N111" s="10">
        <v>0.18</v>
      </c>
      <c r="O111" s="10">
        <v>0.28000000000000003</v>
      </c>
      <c r="P111" s="10">
        <v>0.2</v>
      </c>
      <c r="Q111" s="10">
        <v>1.17</v>
      </c>
      <c r="R111" s="10">
        <v>1.2</v>
      </c>
      <c r="S111" s="10">
        <v>0.79</v>
      </c>
      <c r="T111" s="10">
        <v>0.36</v>
      </c>
    </row>
    <row r="112" spans="1:20" x14ac:dyDescent="0.2">
      <c r="A112" s="8">
        <v>108</v>
      </c>
      <c r="B112" s="10">
        <v>1</v>
      </c>
      <c r="C112" s="10">
        <v>0.15999999999999992</v>
      </c>
      <c r="D112" s="10">
        <v>0.3899999999999999</v>
      </c>
      <c r="E112" s="10">
        <v>0.34000000000000008</v>
      </c>
      <c r="F112" s="10">
        <v>0.1399999999999999</v>
      </c>
      <c r="G112" s="10">
        <v>1.18</v>
      </c>
      <c r="H112" s="10">
        <v>0.68</v>
      </c>
      <c r="I112" s="10">
        <v>0.87</v>
      </c>
      <c r="J112" s="10">
        <v>0.15</v>
      </c>
      <c r="K112" s="10">
        <v>0.3</v>
      </c>
      <c r="L112" s="10">
        <v>0.79</v>
      </c>
      <c r="M112" s="10">
        <v>0.17</v>
      </c>
      <c r="N112" s="10">
        <v>0.35</v>
      </c>
      <c r="O112" s="10">
        <v>0.19</v>
      </c>
      <c r="P112" s="10">
        <v>0.11</v>
      </c>
      <c r="Q112" s="10">
        <v>1.1100000000000001</v>
      </c>
      <c r="R112" s="10">
        <v>1.18</v>
      </c>
      <c r="S112" s="10">
        <v>0.36</v>
      </c>
      <c r="T112" s="10">
        <v>0.26</v>
      </c>
    </row>
    <row r="113" spans="1:20" x14ac:dyDescent="0.2">
      <c r="A113" s="8">
        <v>109</v>
      </c>
      <c r="B113" s="10">
        <v>0.94</v>
      </c>
      <c r="C113" s="10">
        <v>9.000000000000008E-2</v>
      </c>
      <c r="D113" s="10">
        <v>0.43999999999999995</v>
      </c>
      <c r="E113" s="10">
        <v>0.42999999999999994</v>
      </c>
      <c r="F113" s="10">
        <v>0.18999999999999995</v>
      </c>
      <c r="G113" s="10">
        <v>0.81</v>
      </c>
      <c r="H113" s="10">
        <v>1.21</v>
      </c>
      <c r="I113" s="10">
        <v>0.62</v>
      </c>
      <c r="J113" s="10">
        <v>0.31</v>
      </c>
      <c r="K113" s="10">
        <v>0.2</v>
      </c>
      <c r="L113" s="10">
        <v>0.87</v>
      </c>
      <c r="M113" s="10">
        <v>0.15</v>
      </c>
      <c r="N113" s="10">
        <v>0.33</v>
      </c>
      <c r="O113" s="10">
        <v>0.2</v>
      </c>
      <c r="P113" s="10">
        <v>0.18</v>
      </c>
      <c r="Q113" s="10">
        <v>1.25</v>
      </c>
      <c r="R113" s="10">
        <v>1.1299999999999999</v>
      </c>
      <c r="S113" s="10">
        <v>0.38</v>
      </c>
      <c r="T113" s="10">
        <v>0.41</v>
      </c>
    </row>
    <row r="114" spans="1:20" x14ac:dyDescent="0.2">
      <c r="A114" s="8">
        <v>110</v>
      </c>
      <c r="B114" s="10">
        <v>1.1399999999999999</v>
      </c>
      <c r="C114" s="10">
        <v>0.48</v>
      </c>
      <c r="D114" s="10">
        <v>0.25</v>
      </c>
      <c r="E114" s="10">
        <v>0.30000000000000004</v>
      </c>
      <c r="F114" s="10">
        <v>9.000000000000008E-2</v>
      </c>
      <c r="G114" s="10">
        <v>0.95</v>
      </c>
      <c r="H114" s="10">
        <v>1.17</v>
      </c>
      <c r="I114" s="10">
        <v>0.73</v>
      </c>
      <c r="J114" s="10">
        <v>0.13</v>
      </c>
      <c r="K114" s="10">
        <v>0.3</v>
      </c>
      <c r="L114" s="10">
        <v>0.84</v>
      </c>
      <c r="M114" s="10">
        <v>0.39</v>
      </c>
      <c r="N114" s="10">
        <v>0.13</v>
      </c>
      <c r="O114" s="10">
        <v>0.13</v>
      </c>
      <c r="P114" s="10">
        <v>0.28000000000000003</v>
      </c>
      <c r="Q114" s="10">
        <v>0.95</v>
      </c>
      <c r="R114" s="10">
        <v>1.1499999999999999</v>
      </c>
      <c r="S114" s="10">
        <v>0.97</v>
      </c>
      <c r="T114" s="10">
        <v>0.6</v>
      </c>
    </row>
    <row r="115" spans="1:20" x14ac:dyDescent="0.2">
      <c r="A115" s="8">
        <v>111</v>
      </c>
      <c r="B115" s="10">
        <v>0.81</v>
      </c>
      <c r="C115" s="10">
        <v>0.29000000000000004</v>
      </c>
      <c r="D115" s="10">
        <v>0.18999999999999995</v>
      </c>
      <c r="E115" s="10">
        <v>0.45999999999999996</v>
      </c>
      <c r="F115" s="10">
        <v>0.17999999999999994</v>
      </c>
      <c r="G115" s="10">
        <v>1.39</v>
      </c>
      <c r="H115" s="10">
        <v>0.99</v>
      </c>
      <c r="I115" s="10">
        <v>0.7</v>
      </c>
      <c r="J115" s="10">
        <v>0.27</v>
      </c>
      <c r="K115" s="10">
        <v>0.15</v>
      </c>
      <c r="L115" s="10">
        <v>0.79</v>
      </c>
      <c r="M115" s="10">
        <v>0.35</v>
      </c>
      <c r="N115" s="10">
        <v>0.23</v>
      </c>
      <c r="O115" s="10">
        <v>0.12</v>
      </c>
      <c r="P115" s="10">
        <v>0.24</v>
      </c>
      <c r="Q115" s="10">
        <v>0.9</v>
      </c>
      <c r="R115" s="10">
        <v>1.06</v>
      </c>
      <c r="S115" s="10">
        <v>0.86</v>
      </c>
      <c r="T115" s="10">
        <v>0.43</v>
      </c>
    </row>
    <row r="116" spans="1:20" x14ac:dyDescent="0.2">
      <c r="A116" s="8">
        <v>112</v>
      </c>
      <c r="B116" s="10">
        <v>1.23</v>
      </c>
      <c r="C116" s="10">
        <v>0.1100000000000001</v>
      </c>
      <c r="D116" s="10">
        <v>0.15999999999999992</v>
      </c>
      <c r="E116" s="10">
        <v>0.27</v>
      </c>
      <c r="F116" s="10">
        <v>0.1100000000000001</v>
      </c>
      <c r="G116" s="10">
        <v>1.29</v>
      </c>
      <c r="H116" s="10">
        <v>1.26</v>
      </c>
      <c r="I116" s="10">
        <v>0.85</v>
      </c>
      <c r="J116" s="10">
        <v>0.15</v>
      </c>
      <c r="K116" s="10">
        <v>0.4</v>
      </c>
      <c r="L116" s="10">
        <v>0.71</v>
      </c>
      <c r="M116" s="10">
        <v>0.26</v>
      </c>
      <c r="N116" s="10">
        <v>0.38</v>
      </c>
      <c r="O116" s="10">
        <v>0.11</v>
      </c>
      <c r="P116" s="10">
        <v>0.26</v>
      </c>
      <c r="Q116" s="10">
        <v>0.88</v>
      </c>
      <c r="R116" s="10">
        <v>1.1200000000000001</v>
      </c>
      <c r="S116" s="10">
        <v>0.46</v>
      </c>
      <c r="T116" s="10">
        <v>0.66</v>
      </c>
    </row>
    <row r="117" spans="1:20" x14ac:dyDescent="0.2">
      <c r="A117" s="8">
        <v>113</v>
      </c>
      <c r="B117" s="10">
        <v>0.96</v>
      </c>
      <c r="C117" s="10">
        <v>6.0000000000000053E-2</v>
      </c>
      <c r="D117" s="10">
        <v>9.000000000000008E-2</v>
      </c>
      <c r="E117" s="10">
        <v>0.40999999999999992</v>
      </c>
      <c r="F117" s="10">
        <v>2.0000000000000018E-2</v>
      </c>
      <c r="G117" s="10">
        <v>0.78</v>
      </c>
      <c r="H117" s="10">
        <v>0.84</v>
      </c>
      <c r="I117" s="10">
        <v>0.61</v>
      </c>
      <c r="J117" s="10">
        <v>0.26</v>
      </c>
      <c r="K117" s="10">
        <v>0.18</v>
      </c>
      <c r="L117" s="10">
        <v>0.72</v>
      </c>
      <c r="M117" s="10">
        <v>0.21</v>
      </c>
      <c r="N117" s="10">
        <v>0.22</v>
      </c>
      <c r="O117" s="10">
        <v>0.13</v>
      </c>
      <c r="P117" s="10">
        <v>0.27</v>
      </c>
      <c r="Q117" s="10">
        <v>0.87</v>
      </c>
      <c r="R117" s="10">
        <v>1.1000000000000001</v>
      </c>
      <c r="S117" s="10">
        <v>0.41</v>
      </c>
      <c r="T117" s="10">
        <v>0.5</v>
      </c>
    </row>
    <row r="118" spans="1:20" x14ac:dyDescent="0.2">
      <c r="A118" s="8">
        <v>114</v>
      </c>
      <c r="B118" s="10">
        <v>1.02</v>
      </c>
      <c r="C118" s="10">
        <v>0.30000000000000004</v>
      </c>
      <c r="D118" s="10">
        <v>0.39999999999999991</v>
      </c>
      <c r="E118" s="10">
        <v>2.0000000000000018E-2</v>
      </c>
      <c r="F118" s="10">
        <v>0.12999999999999989</v>
      </c>
      <c r="G118" s="10">
        <v>0.63</v>
      </c>
      <c r="H118" s="10">
        <v>0.7</v>
      </c>
      <c r="I118" s="10">
        <v>0.61</v>
      </c>
      <c r="J118" s="10">
        <v>0.28000000000000003</v>
      </c>
      <c r="K118" s="10">
        <v>0.33</v>
      </c>
      <c r="L118" s="10">
        <v>0.61</v>
      </c>
      <c r="M118" s="10">
        <v>0.27</v>
      </c>
      <c r="N118" s="10">
        <v>0.33</v>
      </c>
      <c r="O118" s="10">
        <v>0.16</v>
      </c>
      <c r="P118" s="10">
        <v>0.28000000000000003</v>
      </c>
      <c r="Q118" s="10">
        <v>1.23</v>
      </c>
      <c r="R118" s="10">
        <v>0.77</v>
      </c>
      <c r="S118" s="10">
        <v>0.85</v>
      </c>
      <c r="T118" s="10">
        <v>0.96</v>
      </c>
    </row>
    <row r="119" spans="1:20" x14ac:dyDescent="0.2">
      <c r="A119" s="8">
        <v>115</v>
      </c>
      <c r="B119" s="10">
        <v>0.84</v>
      </c>
      <c r="C119" s="10">
        <v>0.45999999999999996</v>
      </c>
      <c r="D119" s="10">
        <v>0.43999999999999995</v>
      </c>
      <c r="E119" s="10">
        <v>0.20999999999999996</v>
      </c>
      <c r="F119" s="10">
        <v>0.1100000000000001</v>
      </c>
      <c r="G119" s="10">
        <v>1.08</v>
      </c>
      <c r="H119" s="10">
        <v>1.28</v>
      </c>
      <c r="I119" s="10">
        <v>0.78</v>
      </c>
      <c r="J119" s="10">
        <v>0.12</v>
      </c>
      <c r="K119" s="10">
        <v>0.16</v>
      </c>
      <c r="L119" s="10">
        <v>0.73</v>
      </c>
      <c r="M119" s="10">
        <v>0.22</v>
      </c>
      <c r="N119" s="10">
        <v>0.39</v>
      </c>
      <c r="O119" s="10">
        <v>0.14000000000000001</v>
      </c>
      <c r="P119" s="10">
        <v>0.26</v>
      </c>
      <c r="Q119" s="10">
        <v>1.24</v>
      </c>
      <c r="R119" s="10">
        <v>0.88</v>
      </c>
      <c r="S119" s="10">
        <v>0.63</v>
      </c>
      <c r="T119" s="10">
        <v>0.8</v>
      </c>
    </row>
    <row r="120" spans="1:20" x14ac:dyDescent="0.2">
      <c r="A120" s="8">
        <v>116</v>
      </c>
      <c r="B120" s="10">
        <v>1.05</v>
      </c>
      <c r="C120" s="10">
        <v>0.22999999999999998</v>
      </c>
      <c r="D120" s="10">
        <v>0.34000000000000008</v>
      </c>
      <c r="E120" s="10">
        <v>0.1100000000000001</v>
      </c>
      <c r="F120" s="10">
        <v>0.24</v>
      </c>
      <c r="G120" s="10">
        <v>1.26</v>
      </c>
      <c r="H120" s="10">
        <v>0.69</v>
      </c>
      <c r="I120" s="10">
        <v>0.75</v>
      </c>
      <c r="J120" s="10">
        <v>0.37</v>
      </c>
      <c r="K120" s="10">
        <v>0.31</v>
      </c>
      <c r="L120" s="10">
        <v>0.84</v>
      </c>
      <c r="M120" s="10">
        <v>0.4</v>
      </c>
      <c r="N120" s="10">
        <v>0.21</v>
      </c>
      <c r="O120" s="10">
        <v>0.18</v>
      </c>
      <c r="P120" s="10">
        <v>0.22</v>
      </c>
      <c r="Q120" s="10">
        <v>1.18</v>
      </c>
      <c r="R120" s="10">
        <v>0.93</v>
      </c>
      <c r="S120" s="10">
        <v>0.45</v>
      </c>
      <c r="T120" s="10">
        <v>0.87</v>
      </c>
    </row>
    <row r="121" spans="1:20" x14ac:dyDescent="0.2">
      <c r="A121" s="8">
        <v>117</v>
      </c>
      <c r="B121" s="10">
        <v>0.79</v>
      </c>
      <c r="C121" s="10">
        <v>9.000000000000008E-2</v>
      </c>
      <c r="D121" s="10">
        <v>0.42999999999999994</v>
      </c>
      <c r="E121" s="10">
        <v>6.0000000000000053E-2</v>
      </c>
      <c r="F121" s="10">
        <v>0.12999999999999989</v>
      </c>
      <c r="G121" s="10">
        <v>0.96</v>
      </c>
      <c r="H121" s="10">
        <v>1.1200000000000001</v>
      </c>
      <c r="I121" s="10">
        <v>0.79</v>
      </c>
      <c r="J121" s="10">
        <v>0.17</v>
      </c>
      <c r="K121" s="10">
        <v>0.24</v>
      </c>
      <c r="L121" s="10">
        <v>0.88</v>
      </c>
      <c r="M121" s="10">
        <v>0.31</v>
      </c>
      <c r="N121" s="10">
        <v>0.11</v>
      </c>
      <c r="O121" s="10">
        <v>0.13</v>
      </c>
      <c r="P121" s="10">
        <v>0.21</v>
      </c>
      <c r="Q121" s="10">
        <v>1.17</v>
      </c>
      <c r="R121" s="10">
        <v>0.82</v>
      </c>
      <c r="S121" s="10">
        <v>0.43</v>
      </c>
      <c r="T121" s="10">
        <v>0.77</v>
      </c>
    </row>
    <row r="122" spans="1:20" x14ac:dyDescent="0.2">
      <c r="A122" s="8">
        <v>118</v>
      </c>
      <c r="B122" s="10">
        <v>1.0900000000000001</v>
      </c>
      <c r="C122" s="10">
        <v>0.39999999999999991</v>
      </c>
      <c r="D122" s="10">
        <v>0.19999999999999996</v>
      </c>
      <c r="E122" s="10">
        <v>0.25</v>
      </c>
      <c r="F122" s="10">
        <v>2.0000000000000018E-2</v>
      </c>
      <c r="G122" s="10">
        <v>0.74</v>
      </c>
      <c r="H122" s="10">
        <v>1.34</v>
      </c>
      <c r="I122" s="10">
        <v>0.69</v>
      </c>
      <c r="J122" s="10">
        <v>0.28999999999999998</v>
      </c>
      <c r="K122" s="10">
        <v>0.37</v>
      </c>
      <c r="L122" s="10">
        <v>0.8</v>
      </c>
      <c r="M122" s="10">
        <v>0.21</v>
      </c>
      <c r="N122" s="10">
        <v>0.35</v>
      </c>
      <c r="O122" s="10">
        <v>0.19</v>
      </c>
      <c r="P122" s="10">
        <v>0.13</v>
      </c>
      <c r="Q122" s="10">
        <v>0.86</v>
      </c>
      <c r="R122" s="10">
        <v>0.96</v>
      </c>
      <c r="S122" s="10">
        <v>0.99</v>
      </c>
      <c r="T122" s="10">
        <v>0.74</v>
      </c>
    </row>
    <row r="123" spans="1:20" x14ac:dyDescent="0.2">
      <c r="A123" s="8">
        <v>119</v>
      </c>
      <c r="B123" s="10">
        <v>0.82</v>
      </c>
      <c r="C123" s="10">
        <v>0.43999999999999995</v>
      </c>
      <c r="D123" s="10">
        <v>4.0000000000000036E-2</v>
      </c>
      <c r="E123" s="10">
        <v>0.18999999999999995</v>
      </c>
      <c r="F123" s="10">
        <v>4.0000000000000036E-2</v>
      </c>
      <c r="G123" s="10">
        <v>1.33</v>
      </c>
      <c r="H123" s="10">
        <v>0.97</v>
      </c>
      <c r="I123" s="10">
        <v>0.83</v>
      </c>
      <c r="J123" s="10">
        <v>0.25</v>
      </c>
      <c r="K123" s="10">
        <v>0.11</v>
      </c>
      <c r="L123" s="10">
        <v>0.77</v>
      </c>
      <c r="M123" s="10">
        <v>0.12</v>
      </c>
      <c r="N123" s="10">
        <v>0.31</v>
      </c>
      <c r="O123" s="10">
        <v>0.24</v>
      </c>
      <c r="P123" s="10">
        <v>0.15</v>
      </c>
      <c r="Q123" s="10">
        <v>1</v>
      </c>
      <c r="R123" s="10">
        <v>0.92</v>
      </c>
      <c r="S123" s="10">
        <v>1</v>
      </c>
      <c r="T123" s="10">
        <v>0.93</v>
      </c>
    </row>
    <row r="124" spans="1:20" x14ac:dyDescent="0.2">
      <c r="A124" s="8">
        <v>120</v>
      </c>
      <c r="B124" s="10">
        <v>1.1499999999999999</v>
      </c>
      <c r="C124" s="10">
        <v>0.15999999999999992</v>
      </c>
      <c r="D124" s="10">
        <v>0.22999999999999998</v>
      </c>
      <c r="E124" s="10">
        <v>0.15999999999999992</v>
      </c>
      <c r="F124" s="10">
        <v>1.0000000000000009E-2</v>
      </c>
      <c r="G124" s="10">
        <v>1.35</v>
      </c>
      <c r="H124" s="10">
        <v>1.23</v>
      </c>
      <c r="I124" s="10">
        <v>0.69</v>
      </c>
      <c r="J124" s="10">
        <v>0.34</v>
      </c>
      <c r="K124" s="10">
        <v>0.38</v>
      </c>
      <c r="L124" s="10">
        <v>0.6</v>
      </c>
      <c r="M124" s="10">
        <v>0.28999999999999998</v>
      </c>
      <c r="N124" s="10">
        <v>0.21</v>
      </c>
      <c r="O124" s="10">
        <v>0.26</v>
      </c>
      <c r="P124" s="10">
        <v>0.18</v>
      </c>
      <c r="Q124" s="10">
        <v>0.84</v>
      </c>
      <c r="R124" s="10">
        <v>0.84</v>
      </c>
      <c r="S124" s="10">
        <v>0.37</v>
      </c>
      <c r="T124" s="10">
        <v>0.7</v>
      </c>
    </row>
    <row r="125" spans="1:20" x14ac:dyDescent="0.2">
      <c r="A125" s="8">
        <v>121</v>
      </c>
      <c r="B125" s="10">
        <v>0.81</v>
      </c>
      <c r="C125" s="10">
        <v>7.0000000000000062E-2</v>
      </c>
      <c r="D125" s="10">
        <v>9.000000000000008E-2</v>
      </c>
      <c r="E125" s="10">
        <v>9.000000000000008E-2</v>
      </c>
      <c r="F125" s="10">
        <v>1.0000000000000009E-2</v>
      </c>
      <c r="G125" s="10">
        <v>0.91</v>
      </c>
      <c r="H125" s="10">
        <v>0.94</v>
      </c>
      <c r="I125" s="10">
        <v>0.84</v>
      </c>
      <c r="J125" s="10">
        <v>0.2</v>
      </c>
      <c r="K125" s="10">
        <v>0.1</v>
      </c>
      <c r="L125" s="10">
        <v>0.74</v>
      </c>
      <c r="M125" s="10">
        <v>0.37</v>
      </c>
      <c r="N125" s="10">
        <v>0.26</v>
      </c>
      <c r="O125" s="10">
        <v>0.23</v>
      </c>
      <c r="P125" s="10">
        <v>0.14000000000000001</v>
      </c>
      <c r="Q125" s="10">
        <v>0.81</v>
      </c>
      <c r="R125" s="10">
        <v>0.89</v>
      </c>
      <c r="S125" s="10">
        <v>0.28999999999999998</v>
      </c>
      <c r="T125" s="10">
        <v>0.7</v>
      </c>
    </row>
    <row r="126" spans="1:20" x14ac:dyDescent="0.2">
      <c r="A126" s="8">
        <v>122</v>
      </c>
      <c r="B126" s="10">
        <v>1.17</v>
      </c>
      <c r="C126" s="10">
        <v>0.44999999999999996</v>
      </c>
      <c r="D126" s="10">
        <v>0.33000000000000007</v>
      </c>
      <c r="E126" s="10">
        <v>0.15999999999999992</v>
      </c>
      <c r="F126" s="10">
        <v>0.19999999999999996</v>
      </c>
      <c r="G126" s="10">
        <v>0.88</v>
      </c>
      <c r="H126" s="10">
        <v>0.73</v>
      </c>
      <c r="I126" s="10">
        <v>0.86</v>
      </c>
      <c r="J126" s="10">
        <v>0.36</v>
      </c>
      <c r="K126" s="10">
        <v>0.28999999999999998</v>
      </c>
      <c r="L126" s="10">
        <v>0.73</v>
      </c>
      <c r="M126" s="10">
        <v>0.38</v>
      </c>
      <c r="N126" s="10">
        <v>0.34</v>
      </c>
      <c r="O126" s="10">
        <v>0.25</v>
      </c>
      <c r="P126" s="10">
        <v>0.28000000000000003</v>
      </c>
      <c r="Q126" s="10">
        <v>1.18</v>
      </c>
      <c r="R126" s="10">
        <v>0.77</v>
      </c>
      <c r="S126" s="10">
        <v>0.74</v>
      </c>
      <c r="T126" s="10">
        <v>0.27</v>
      </c>
    </row>
    <row r="127" spans="1:20" x14ac:dyDescent="0.2">
      <c r="A127" s="8">
        <v>123</v>
      </c>
      <c r="B127" s="10">
        <v>0.92</v>
      </c>
      <c r="C127" s="10">
        <v>0.30000000000000004</v>
      </c>
      <c r="D127" s="10">
        <v>0.44999999999999996</v>
      </c>
      <c r="E127" s="10">
        <v>7.0000000000000062E-2</v>
      </c>
      <c r="F127" s="10">
        <v>0.20999999999999996</v>
      </c>
      <c r="G127" s="10">
        <v>1.25</v>
      </c>
      <c r="H127" s="10">
        <v>1.19</v>
      </c>
      <c r="I127" s="10">
        <v>0.66</v>
      </c>
      <c r="J127" s="10">
        <v>0.21</v>
      </c>
      <c r="K127" s="10">
        <v>0.23</v>
      </c>
      <c r="L127" s="10">
        <v>0.73</v>
      </c>
      <c r="M127" s="10">
        <v>0.31</v>
      </c>
      <c r="N127" s="10">
        <v>0.38</v>
      </c>
      <c r="O127" s="10">
        <v>0.23</v>
      </c>
      <c r="P127" s="10">
        <v>0.28000000000000003</v>
      </c>
      <c r="Q127" s="10">
        <v>1.1200000000000001</v>
      </c>
      <c r="R127" s="10">
        <v>0.85</v>
      </c>
      <c r="S127" s="10">
        <v>0.99</v>
      </c>
      <c r="T127" s="10">
        <v>0.31</v>
      </c>
    </row>
    <row r="128" spans="1:20" x14ac:dyDescent="0.2">
      <c r="A128" s="8">
        <v>124</v>
      </c>
      <c r="B128" s="10">
        <v>1.2</v>
      </c>
      <c r="C128" s="10">
        <v>8.0000000000000071E-2</v>
      </c>
      <c r="D128" s="10">
        <v>0.29000000000000004</v>
      </c>
      <c r="E128" s="10">
        <v>3.0000000000000027E-2</v>
      </c>
      <c r="F128" s="10">
        <v>0</v>
      </c>
      <c r="G128" s="10">
        <v>1.1100000000000001</v>
      </c>
      <c r="H128" s="10">
        <v>0.96</v>
      </c>
      <c r="I128" s="10">
        <v>0.85</v>
      </c>
      <c r="J128" s="10">
        <v>0.36</v>
      </c>
      <c r="K128" s="10">
        <v>0.3</v>
      </c>
      <c r="L128" s="10">
        <v>0.84</v>
      </c>
      <c r="M128" s="10">
        <v>0.15</v>
      </c>
      <c r="N128" s="10">
        <v>0.14000000000000001</v>
      </c>
      <c r="O128" s="10">
        <v>0.28999999999999998</v>
      </c>
      <c r="P128" s="10">
        <v>0.2</v>
      </c>
      <c r="Q128" s="10">
        <v>1.1100000000000001</v>
      </c>
      <c r="R128" s="10">
        <v>0.75</v>
      </c>
      <c r="S128" s="10">
        <v>0.56999999999999995</v>
      </c>
      <c r="T128" s="10">
        <v>0.46</v>
      </c>
    </row>
    <row r="129" spans="1:20" x14ac:dyDescent="0.2">
      <c r="A129" s="8">
        <v>125</v>
      </c>
      <c r="B129" s="10">
        <v>0.95</v>
      </c>
      <c r="C129" s="10">
        <v>0.16999999999999993</v>
      </c>
      <c r="D129" s="10">
        <v>0.28000000000000003</v>
      </c>
      <c r="E129" s="10">
        <v>8.0000000000000071E-2</v>
      </c>
      <c r="F129" s="10">
        <v>0.14999999999999991</v>
      </c>
      <c r="G129" s="10">
        <v>0.67</v>
      </c>
      <c r="H129" s="10">
        <v>1.0900000000000001</v>
      </c>
      <c r="I129" s="10">
        <v>0.7</v>
      </c>
      <c r="J129" s="10">
        <v>0.12</v>
      </c>
      <c r="K129" s="10">
        <v>0.11</v>
      </c>
      <c r="L129" s="10">
        <v>0.83</v>
      </c>
      <c r="M129" s="10">
        <v>0.17</v>
      </c>
      <c r="N129" s="10">
        <v>0.19</v>
      </c>
      <c r="O129" s="10">
        <v>0.21</v>
      </c>
      <c r="P129" s="10">
        <v>0.24</v>
      </c>
      <c r="Q129" s="10">
        <v>1.03</v>
      </c>
      <c r="R129" s="10">
        <v>0.81</v>
      </c>
      <c r="S129" s="10">
        <v>0.54</v>
      </c>
      <c r="T129" s="10">
        <v>0.34</v>
      </c>
    </row>
    <row r="130" spans="1:20" x14ac:dyDescent="0.2">
      <c r="A130" s="8">
        <v>126</v>
      </c>
      <c r="B130" s="10">
        <v>1.04</v>
      </c>
      <c r="C130" s="10">
        <v>0.33000000000000007</v>
      </c>
      <c r="D130" s="10">
        <v>5.0000000000000044E-2</v>
      </c>
      <c r="E130" s="10">
        <v>0.17999999999999994</v>
      </c>
      <c r="F130" s="10">
        <v>0.21999999999999997</v>
      </c>
      <c r="G130" s="10">
        <v>0.69</v>
      </c>
      <c r="H130" s="10">
        <v>1.1100000000000001</v>
      </c>
      <c r="I130" s="10">
        <v>0.86</v>
      </c>
      <c r="J130" s="10">
        <v>0.25</v>
      </c>
      <c r="K130" s="10">
        <v>0.31</v>
      </c>
      <c r="L130" s="10">
        <v>0.82</v>
      </c>
      <c r="M130" s="10">
        <v>0.36</v>
      </c>
      <c r="N130" s="10">
        <v>0.37</v>
      </c>
      <c r="O130" s="10">
        <v>0.12</v>
      </c>
      <c r="P130" s="10">
        <v>0.15</v>
      </c>
      <c r="Q130" s="10">
        <v>0.9</v>
      </c>
      <c r="R130" s="10">
        <v>1.01</v>
      </c>
      <c r="S130" s="10">
        <v>0.94</v>
      </c>
      <c r="T130" s="10">
        <v>0.4</v>
      </c>
    </row>
    <row r="131" spans="1:20" x14ac:dyDescent="0.2">
      <c r="A131" s="8">
        <v>127</v>
      </c>
      <c r="B131" s="10">
        <v>0.97</v>
      </c>
      <c r="C131" s="10">
        <v>0.44999999999999996</v>
      </c>
      <c r="D131" s="10">
        <v>0.19999999999999996</v>
      </c>
      <c r="E131" s="10">
        <v>0.24</v>
      </c>
      <c r="F131" s="10">
        <v>0.14999999999999991</v>
      </c>
      <c r="G131" s="10">
        <v>1.1100000000000001</v>
      </c>
      <c r="H131" s="10">
        <v>0.74</v>
      </c>
      <c r="I131" s="10">
        <v>0.7</v>
      </c>
      <c r="J131" s="10">
        <v>0.21</v>
      </c>
      <c r="K131" s="10">
        <v>0.25</v>
      </c>
      <c r="L131" s="10">
        <v>0.86</v>
      </c>
      <c r="M131" s="10">
        <v>0.27</v>
      </c>
      <c r="N131" s="10">
        <v>0.34</v>
      </c>
      <c r="O131" s="10">
        <v>0.17</v>
      </c>
      <c r="P131" s="10">
        <v>0.1</v>
      </c>
      <c r="Q131" s="10">
        <v>0.76</v>
      </c>
      <c r="R131" s="10">
        <v>0.91</v>
      </c>
      <c r="S131" s="10">
        <v>0.81</v>
      </c>
      <c r="T131" s="10">
        <v>0.57999999999999996</v>
      </c>
    </row>
    <row r="132" spans="1:20" x14ac:dyDescent="0.2">
      <c r="A132" s="8">
        <v>128</v>
      </c>
      <c r="B132" s="10">
        <v>1.08</v>
      </c>
      <c r="C132" s="10">
        <v>0.20999999999999996</v>
      </c>
      <c r="D132" s="10">
        <v>8.0000000000000071E-2</v>
      </c>
      <c r="E132" s="10">
        <v>4.0000000000000036E-2</v>
      </c>
      <c r="F132" s="10">
        <v>0.12000000000000011</v>
      </c>
      <c r="G132" s="10">
        <v>1.07</v>
      </c>
      <c r="H132" s="10">
        <v>1.1399999999999999</v>
      </c>
      <c r="I132" s="10">
        <v>0.83</v>
      </c>
      <c r="J132" s="10">
        <v>0.36</v>
      </c>
      <c r="K132" s="10">
        <v>0.37</v>
      </c>
      <c r="L132" s="10">
        <v>0.7</v>
      </c>
      <c r="M132" s="10">
        <v>0.13</v>
      </c>
      <c r="N132" s="10">
        <v>0.24</v>
      </c>
      <c r="O132" s="10">
        <v>0.1</v>
      </c>
      <c r="P132" s="10">
        <v>0.12</v>
      </c>
      <c r="Q132" s="10">
        <v>0.99</v>
      </c>
      <c r="R132" s="10">
        <v>0.95</v>
      </c>
      <c r="S132" s="10">
        <v>0.53</v>
      </c>
      <c r="T132" s="10">
        <v>0.37</v>
      </c>
    </row>
    <row r="133" spans="1:20" x14ac:dyDescent="0.2">
      <c r="A133" s="8">
        <v>129</v>
      </c>
      <c r="B133" s="10">
        <v>0.8</v>
      </c>
      <c r="C133" s="10">
        <v>0.21999999999999997</v>
      </c>
      <c r="D133" s="10">
        <v>0.16999999999999993</v>
      </c>
      <c r="E133" s="10">
        <v>7.0000000000000062E-2</v>
      </c>
      <c r="F133" s="10">
        <v>5.0000000000000044E-2</v>
      </c>
      <c r="G133" s="10">
        <v>0.94</v>
      </c>
      <c r="H133" s="10">
        <v>0.76</v>
      </c>
      <c r="I133" s="10">
        <v>0.73</v>
      </c>
      <c r="J133" s="10">
        <v>0.12</v>
      </c>
      <c r="K133" s="10">
        <v>0.18</v>
      </c>
      <c r="L133" s="10">
        <v>0.64</v>
      </c>
      <c r="M133" s="10">
        <v>0.25</v>
      </c>
      <c r="N133" s="10">
        <v>0.17</v>
      </c>
      <c r="O133" s="10">
        <v>0.15</v>
      </c>
      <c r="P133" s="10">
        <v>0.18</v>
      </c>
      <c r="Q133" s="10">
        <v>0.93</v>
      </c>
      <c r="R133" s="10">
        <v>0.98</v>
      </c>
      <c r="S133" s="10">
        <v>0.6</v>
      </c>
      <c r="T133" s="10">
        <v>0.47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topLeftCell="A10" zoomScale="150" workbookViewId="0">
      <selection activeCell="M33" sqref="M33"/>
    </sheetView>
  </sheetViews>
  <sheetFormatPr baseColWidth="10" defaultColWidth="8.83203125" defaultRowHeight="16" x14ac:dyDescent="0.2"/>
  <cols>
    <col min="1" max="1" width="23.83203125" customWidth="1"/>
    <col min="2" max="2" width="26.33203125" customWidth="1"/>
    <col min="3" max="3" width="21.83203125" customWidth="1"/>
    <col min="4" max="4" width="26.6640625" customWidth="1"/>
  </cols>
  <sheetData>
    <row r="1" spans="1:4" ht="56" x14ac:dyDescent="0.2">
      <c r="A1" s="5"/>
      <c r="B1" s="3" t="s">
        <v>22</v>
      </c>
      <c r="C1" s="3" t="s">
        <v>23</v>
      </c>
      <c r="D1" s="3" t="s">
        <v>24</v>
      </c>
    </row>
    <row r="2" spans="1:4" x14ac:dyDescent="0.2">
      <c r="A2" s="6" t="s">
        <v>26</v>
      </c>
      <c r="B2" s="127" t="s">
        <v>160</v>
      </c>
      <c r="C2" s="127" t="s">
        <v>164</v>
      </c>
      <c r="D2" s="127" t="s">
        <v>168</v>
      </c>
    </row>
    <row r="3" spans="1:4" x14ac:dyDescent="0.2">
      <c r="B3" s="5">
        <v>6330240</v>
      </c>
      <c r="C3" s="5">
        <v>1205760</v>
      </c>
      <c r="D3" s="5">
        <v>223000</v>
      </c>
    </row>
    <row r="4" spans="1:4" x14ac:dyDescent="0.2">
      <c r="A4" s="6" t="s">
        <v>25</v>
      </c>
      <c r="B4" s="127" t="s">
        <v>161</v>
      </c>
      <c r="C4" s="127" t="s">
        <v>165</v>
      </c>
      <c r="D4" s="127" t="s">
        <v>169</v>
      </c>
    </row>
    <row r="5" spans="1:4" x14ac:dyDescent="0.2">
      <c r="B5" s="5">
        <v>5554080</v>
      </c>
      <c r="C5" s="5">
        <v>1057920</v>
      </c>
      <c r="D5" s="5">
        <v>258000</v>
      </c>
    </row>
    <row r="6" spans="1:4" x14ac:dyDescent="0.2">
      <c r="A6" s="6" t="s">
        <v>27</v>
      </c>
      <c r="B6" s="127" t="s">
        <v>162</v>
      </c>
      <c r="C6" s="127" t="s">
        <v>166</v>
      </c>
      <c r="D6" s="127" t="s">
        <v>170</v>
      </c>
    </row>
    <row r="7" spans="1:4" x14ac:dyDescent="0.2">
      <c r="B7" s="5">
        <v>2914350</v>
      </c>
      <c r="C7" s="5">
        <v>555114</v>
      </c>
      <c r="D7" s="5">
        <v>173605</v>
      </c>
    </row>
    <row r="8" spans="1:4" x14ac:dyDescent="0.2">
      <c r="A8" s="6" t="s">
        <v>28</v>
      </c>
      <c r="B8" s="127" t="s">
        <v>163</v>
      </c>
      <c r="C8" s="127" t="s">
        <v>167</v>
      </c>
      <c r="D8" s="127" t="s">
        <v>171</v>
      </c>
    </row>
    <row r="9" spans="1:4" x14ac:dyDescent="0.2">
      <c r="B9" s="5">
        <v>2176803</v>
      </c>
      <c r="C9" s="5">
        <v>414629</v>
      </c>
      <c r="D9" s="5">
        <v>48975</v>
      </c>
    </row>
    <row r="11" spans="1:4" ht="42" x14ac:dyDescent="0.2">
      <c r="A11" s="3" t="s">
        <v>8</v>
      </c>
      <c r="B11" s="3" t="s">
        <v>9</v>
      </c>
    </row>
    <row r="12" spans="1:4" ht="84" x14ac:dyDescent="0.2">
      <c r="A12" s="127" t="s">
        <v>181</v>
      </c>
      <c r="B12" s="127" t="s">
        <v>182</v>
      </c>
    </row>
    <row r="13" spans="1:4" x14ac:dyDescent="0.2">
      <c r="A13" s="6">
        <v>30</v>
      </c>
      <c r="B13" s="6">
        <v>60</v>
      </c>
    </row>
    <row r="15" spans="1:4" ht="42" x14ac:dyDescent="0.2">
      <c r="A15" s="3" t="s">
        <v>29</v>
      </c>
      <c r="B15" s="3" t="s">
        <v>30</v>
      </c>
      <c r="C15" s="3" t="s">
        <v>31</v>
      </c>
      <c r="D15" s="3" t="s">
        <v>32</v>
      </c>
    </row>
    <row r="16" spans="1:4" x14ac:dyDescent="0.2">
      <c r="A16" s="127" t="s">
        <v>177</v>
      </c>
      <c r="B16" s="127" t="s">
        <v>178</v>
      </c>
      <c r="C16" s="127" t="s">
        <v>179</v>
      </c>
      <c r="D16" s="127" t="s">
        <v>180</v>
      </c>
    </row>
    <row r="17" spans="1:4" x14ac:dyDescent="0.2">
      <c r="A17" s="6">
        <v>4</v>
      </c>
      <c r="B17" s="6">
        <v>33</v>
      </c>
      <c r="C17" s="6">
        <v>2</v>
      </c>
      <c r="D17" s="6">
        <v>15</v>
      </c>
    </row>
    <row r="19" spans="1:4" ht="42" x14ac:dyDescent="0.2">
      <c r="A19" s="3" t="s">
        <v>33</v>
      </c>
      <c r="B19" s="3" t="s">
        <v>34</v>
      </c>
      <c r="C19" s="3" t="s">
        <v>35</v>
      </c>
    </row>
    <row r="20" spans="1:4" x14ac:dyDescent="0.2">
      <c r="A20" s="127" t="s">
        <v>172</v>
      </c>
      <c r="B20" s="127" t="s">
        <v>174</v>
      </c>
      <c r="C20" s="127" t="s">
        <v>173</v>
      </c>
    </row>
    <row r="21" spans="1:4" x14ac:dyDescent="0.2">
      <c r="A21" s="6">
        <v>122</v>
      </c>
      <c r="B21" s="6">
        <v>209</v>
      </c>
      <c r="C21" s="6">
        <v>123</v>
      </c>
    </row>
    <row r="23" spans="1:4" ht="56" x14ac:dyDescent="0.2">
      <c r="A23" s="3" t="s">
        <v>36</v>
      </c>
      <c r="B23" s="3" t="s">
        <v>37</v>
      </c>
    </row>
    <row r="24" spans="1:4" x14ac:dyDescent="0.2">
      <c r="A24" s="127" t="s">
        <v>175</v>
      </c>
      <c r="B24" s="127" t="s">
        <v>176</v>
      </c>
    </row>
    <row r="25" spans="1:4" x14ac:dyDescent="0.2">
      <c r="A25" s="6">
        <v>75</v>
      </c>
      <c r="B25" s="6">
        <v>122</v>
      </c>
    </row>
    <row r="27" spans="1:4" ht="42" x14ac:dyDescent="0.2">
      <c r="A27" s="126" t="s">
        <v>10</v>
      </c>
    </row>
    <row r="28" spans="1:4" ht="28" x14ac:dyDescent="0.2">
      <c r="A28" s="126" t="s">
        <v>11</v>
      </c>
    </row>
    <row r="29" spans="1:4" ht="28" x14ac:dyDescent="0.2">
      <c r="A29" s="126" t="s">
        <v>12</v>
      </c>
    </row>
    <row r="30" spans="1:4" ht="28" x14ac:dyDescent="0.2">
      <c r="A30" s="125" t="s">
        <v>13</v>
      </c>
      <c r="B30" s="127" t="s">
        <v>183</v>
      </c>
      <c r="C30" s="127" t="s">
        <v>190</v>
      </c>
      <c r="D30" s="127" t="s">
        <v>195</v>
      </c>
    </row>
    <row r="31" spans="1:4" ht="28" x14ac:dyDescent="0.2">
      <c r="A31" s="125" t="s">
        <v>14</v>
      </c>
      <c r="B31" s="127" t="s">
        <v>184</v>
      </c>
      <c r="C31" s="127" t="s">
        <v>191</v>
      </c>
      <c r="D31" s="128" t="s">
        <v>196</v>
      </c>
    </row>
    <row r="32" spans="1:4" ht="28" x14ac:dyDescent="0.2">
      <c r="A32" s="125" t="s">
        <v>15</v>
      </c>
      <c r="B32" s="127" t="s">
        <v>186</v>
      </c>
      <c r="C32" s="127" t="s">
        <v>193</v>
      </c>
      <c r="D32" s="129"/>
    </row>
    <row r="33" spans="1:4" ht="42" x14ac:dyDescent="0.2">
      <c r="A33" s="125" t="s">
        <v>187</v>
      </c>
      <c r="B33" s="127" t="s">
        <v>185</v>
      </c>
      <c r="C33" s="127" t="s">
        <v>192</v>
      </c>
      <c r="D33" s="128" t="s">
        <v>197</v>
      </c>
    </row>
    <row r="34" spans="1:4" ht="42" x14ac:dyDescent="0.2">
      <c r="A34" s="125" t="s">
        <v>188</v>
      </c>
      <c r="B34" s="127" t="s">
        <v>189</v>
      </c>
      <c r="C34" s="127" t="s">
        <v>194</v>
      </c>
      <c r="D34" s="129"/>
    </row>
  </sheetData>
  <mergeCells count="2">
    <mergeCell ref="D31:D32"/>
    <mergeCell ref="D33:D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32"/>
  <sheetViews>
    <sheetView zoomScale="119" zoomScaleNormal="80" workbookViewId="0">
      <selection activeCell="AH2" sqref="AH2:AH3"/>
    </sheetView>
  </sheetViews>
  <sheetFormatPr baseColWidth="10" defaultColWidth="8.83203125" defaultRowHeight="16" x14ac:dyDescent="0.2"/>
  <cols>
    <col min="1" max="1" width="10.5" style="4" bestFit="1" customWidth="1"/>
    <col min="2" max="2" width="16" customWidth="1"/>
    <col min="3" max="3" width="13" customWidth="1"/>
    <col min="4" max="4" width="17.33203125" customWidth="1"/>
    <col min="5" max="5" width="14.33203125" customWidth="1"/>
    <col min="6" max="6" width="14.83203125" customWidth="1"/>
    <col min="7" max="7" width="15.83203125" customWidth="1"/>
    <col min="8" max="8" width="13.33203125" customWidth="1"/>
    <col min="9" max="9" width="14.6640625" customWidth="1"/>
    <col min="10" max="11" width="10.1640625" customWidth="1"/>
    <col min="12" max="12" width="13.6640625" bestFit="1" customWidth="1"/>
    <col min="13" max="13" width="7.83203125" bestFit="1" customWidth="1"/>
    <col min="14" max="14" width="8.33203125" bestFit="1" customWidth="1"/>
    <col min="15" max="15" width="13.5" bestFit="1" customWidth="1"/>
    <col min="23" max="23" width="13.6640625" customWidth="1"/>
    <col min="24" max="24" width="10" customWidth="1"/>
    <col min="29" max="30" width="11.6640625" customWidth="1"/>
    <col min="31" max="31" width="11.83203125" customWidth="1"/>
    <col min="32" max="32" width="12" customWidth="1"/>
    <col min="33" max="33" width="12.6640625" customWidth="1"/>
    <col min="34" max="34" width="12.1640625" customWidth="1"/>
    <col min="35" max="35" width="11.6640625" customWidth="1"/>
    <col min="36" max="36" width="12.33203125" customWidth="1"/>
  </cols>
  <sheetData>
    <row r="1" spans="1:36" ht="61" customHeight="1" x14ac:dyDescent="0.2">
      <c r="B1" s="116" t="s">
        <v>110</v>
      </c>
      <c r="C1" s="116"/>
      <c r="D1" s="116"/>
      <c r="E1" s="117"/>
      <c r="F1" s="120" t="s">
        <v>147</v>
      </c>
      <c r="G1" s="118"/>
      <c r="H1" s="118"/>
      <c r="I1" s="118"/>
      <c r="J1" s="118"/>
      <c r="K1" s="118"/>
      <c r="L1" s="118"/>
      <c r="M1" s="118"/>
      <c r="N1" s="118"/>
      <c r="O1" s="118"/>
      <c r="P1" s="118"/>
      <c r="Q1" s="118"/>
      <c r="R1" s="118"/>
      <c r="S1" s="118"/>
      <c r="T1" s="118"/>
      <c r="U1" s="118"/>
      <c r="V1" s="118"/>
      <c r="W1" s="120" t="s">
        <v>129</v>
      </c>
      <c r="X1" s="118"/>
      <c r="Y1" s="118"/>
      <c r="Z1" s="118"/>
      <c r="AA1" s="118"/>
      <c r="AB1" s="118"/>
      <c r="AC1" s="120" t="s">
        <v>148</v>
      </c>
      <c r="AD1" s="118"/>
      <c r="AE1" s="118"/>
      <c r="AF1" s="118"/>
      <c r="AG1" s="118"/>
      <c r="AH1" s="118"/>
      <c r="AI1" s="118"/>
      <c r="AJ1" s="118"/>
    </row>
    <row r="2" spans="1:36" ht="63.75" customHeight="1" x14ac:dyDescent="0.2">
      <c r="A2" s="13" t="s">
        <v>3</v>
      </c>
      <c r="B2" s="118"/>
      <c r="C2" s="118"/>
      <c r="D2" s="118"/>
      <c r="E2" s="119"/>
      <c r="F2" s="121" t="s">
        <v>4</v>
      </c>
      <c r="G2" s="121"/>
      <c r="H2" s="121"/>
      <c r="I2" s="121" t="s">
        <v>5</v>
      </c>
      <c r="J2" s="121"/>
      <c r="K2" s="121"/>
      <c r="L2" s="121" t="s">
        <v>6</v>
      </c>
      <c r="M2" s="121"/>
      <c r="N2" s="121"/>
      <c r="O2" s="121" t="s">
        <v>7</v>
      </c>
      <c r="P2" s="121"/>
      <c r="Q2" s="121"/>
      <c r="R2" s="121" t="s">
        <v>33</v>
      </c>
      <c r="S2" s="121" t="s">
        <v>34</v>
      </c>
      <c r="T2" s="121" t="s">
        <v>35</v>
      </c>
      <c r="U2" s="121" t="s">
        <v>36</v>
      </c>
      <c r="V2" s="121" t="s">
        <v>37</v>
      </c>
      <c r="W2" s="121" t="s">
        <v>8</v>
      </c>
      <c r="X2" s="121" t="s">
        <v>9</v>
      </c>
      <c r="Y2" s="121" t="s">
        <v>29</v>
      </c>
      <c r="Z2" s="121" t="s">
        <v>30</v>
      </c>
      <c r="AA2" s="121" t="s">
        <v>31</v>
      </c>
      <c r="AB2" s="121" t="s">
        <v>32</v>
      </c>
      <c r="AC2" s="121" t="s">
        <v>10</v>
      </c>
      <c r="AD2" s="121" t="s">
        <v>11</v>
      </c>
      <c r="AE2" s="121" t="s">
        <v>12</v>
      </c>
      <c r="AF2" s="121" t="s">
        <v>13</v>
      </c>
      <c r="AG2" s="121" t="s">
        <v>14</v>
      </c>
      <c r="AH2" s="121" t="s">
        <v>15</v>
      </c>
      <c r="AI2" s="121" t="s">
        <v>16</v>
      </c>
      <c r="AJ2" s="121" t="s">
        <v>17</v>
      </c>
    </row>
    <row r="3" spans="1:36" x14ac:dyDescent="0.2">
      <c r="A3" s="13"/>
      <c r="B3" s="11" t="s">
        <v>160</v>
      </c>
      <c r="C3" s="11" t="s">
        <v>161</v>
      </c>
      <c r="D3" s="11" t="s">
        <v>162</v>
      </c>
      <c r="E3" s="11" t="s">
        <v>163</v>
      </c>
      <c r="F3" s="11" t="s">
        <v>164</v>
      </c>
      <c r="G3" s="11" t="s">
        <v>38</v>
      </c>
      <c r="H3" s="11" t="s">
        <v>39</v>
      </c>
      <c r="I3" s="11" t="s">
        <v>165</v>
      </c>
      <c r="J3" s="11" t="s">
        <v>41</v>
      </c>
      <c r="K3" s="11" t="s">
        <v>42</v>
      </c>
      <c r="L3" s="11" t="s">
        <v>166</v>
      </c>
      <c r="M3" s="11" t="s">
        <v>43</v>
      </c>
      <c r="N3" s="11" t="s">
        <v>44</v>
      </c>
      <c r="O3" s="11" t="s">
        <v>167</v>
      </c>
      <c r="P3" s="11" t="s">
        <v>45</v>
      </c>
      <c r="Q3" s="11" t="s">
        <v>46</v>
      </c>
      <c r="R3" s="121"/>
      <c r="S3" s="121"/>
      <c r="T3" s="121"/>
      <c r="U3" s="121"/>
      <c r="V3" s="121"/>
      <c r="W3" s="121"/>
      <c r="X3" s="121"/>
      <c r="Y3" s="121"/>
      <c r="Z3" s="121"/>
      <c r="AA3" s="121"/>
      <c r="AB3" s="121"/>
      <c r="AC3" s="121"/>
      <c r="AD3" s="121"/>
      <c r="AE3" s="121"/>
      <c r="AF3" s="121"/>
      <c r="AG3" s="121"/>
      <c r="AH3" s="121"/>
      <c r="AI3" s="121"/>
      <c r="AJ3" s="121"/>
    </row>
    <row r="4" spans="1:36" x14ac:dyDescent="0.2">
      <c r="A4" s="8">
        <v>1</v>
      </c>
      <c r="B4" s="6">
        <f>'Actual Values'!$B$3*'NOLH Designs (2)'!B5</f>
        <v>5507308.7999999998</v>
      </c>
      <c r="C4" s="6">
        <f>'Actual Values'!$B$5*'NOLH Designs (2)'!B5</f>
        <v>4832049.5999999996</v>
      </c>
      <c r="D4" s="6">
        <f>'Actual Values'!$B$7*'NOLH Designs (2)'!B5</f>
        <v>2535484.5</v>
      </c>
      <c r="E4" s="6">
        <f>'Actual Values'!$B$9*'NOLH Designs (2)'!B5</f>
        <v>1893818.61</v>
      </c>
      <c r="F4" s="12">
        <f>'Actual Values'!$C$3*'NOLH Designs (2)'!C5</f>
        <v>265267.19999999995</v>
      </c>
      <c r="G4" s="12">
        <f>'Actual Values'!$C$3-'ExpValues Eq'!F4</f>
        <v>940492.80000000005</v>
      </c>
      <c r="H4" s="12">
        <f>F4+'Actual Values'!$D$3</f>
        <v>488267.19999999995</v>
      </c>
      <c r="I4" s="12">
        <f>'Actual Values'!$C$5*'NOLH Designs (2)'!D5</f>
        <v>211583.99999999994</v>
      </c>
      <c r="J4" s="12">
        <f>'Actual Values'!$C$5-'ExpValues Eq'!I4</f>
        <v>846336</v>
      </c>
      <c r="K4" s="12">
        <f>I4+'Actual Values'!$D$5</f>
        <v>469583.99999999994</v>
      </c>
      <c r="L4" s="12">
        <f>'Actual Values'!$C$7*'NOLH Designs (2)'!E5</f>
        <v>127676.21999999999</v>
      </c>
      <c r="M4" s="12">
        <f>'Actual Values'!$C$7-'ExpValues Eq'!L4</f>
        <v>427437.78</v>
      </c>
      <c r="N4" s="12">
        <f>L4+'Actual Values'!$D$7</f>
        <v>301281.21999999997</v>
      </c>
      <c r="O4" s="12">
        <f>'Actual Values'!$C$9*'NOLH Designs (2)'!F5</f>
        <v>70486.929999999964</v>
      </c>
      <c r="P4" s="12">
        <f>'Actual Values'!$C$9-'ExpValues Eq'!O4</f>
        <v>344142.07000000007</v>
      </c>
      <c r="Q4" s="12">
        <f>O4+'Actual Values'!$D$9</f>
        <v>119461.92999999996</v>
      </c>
      <c r="R4" s="12">
        <f>'Actual Values'!$A$21*'NOLH Designs (2)'!S5</f>
        <v>79.3</v>
      </c>
      <c r="S4" s="12">
        <f>'Actual Values'!$B$21*'NOLH Designs (2)'!S5</f>
        <v>135.85</v>
      </c>
      <c r="T4" s="12">
        <f>'Actual Values'!$C$21*'NOLH Designs (2)'!S5</f>
        <v>79.95</v>
      </c>
      <c r="U4" s="12">
        <f>'Actual Values'!$A$25*'NOLH Designs (2)'!T5</f>
        <v>69</v>
      </c>
      <c r="V4" s="12">
        <f>'Actual Values'!$B$25*'NOLH Designs (2)'!T5</f>
        <v>112.24000000000001</v>
      </c>
      <c r="W4" s="12">
        <f>'Actual Values'!$A$13*'NOLH Designs (2)'!G5</f>
        <v>34.5</v>
      </c>
      <c r="X4" s="12">
        <f>'Actual Values'!$B$13*'NOLH Designs (2)'!H5</f>
        <v>63</v>
      </c>
      <c r="Y4" s="12">
        <f>'Actual Values'!$A$17*'NOLH Designs (2)'!Q5</f>
        <v>4.24</v>
      </c>
      <c r="Z4" s="12">
        <f>'Actual Values'!$B$17*'NOLH Designs (2)'!R5</f>
        <v>38.61</v>
      </c>
      <c r="AA4" s="12">
        <f>'Actual Values'!$C$17*'NOLH Designs (2)'!Q5</f>
        <v>2.12</v>
      </c>
      <c r="AB4" s="12">
        <f>'Actual Values'!$D$17*'NOLH Designs (2)'!R5</f>
        <v>17.549999999999997</v>
      </c>
      <c r="AC4" s="6">
        <v>0.83</v>
      </c>
      <c r="AD4" s="6">
        <v>0.27</v>
      </c>
      <c r="AE4" s="6">
        <v>0.38</v>
      </c>
      <c r="AF4" s="6">
        <v>0.83</v>
      </c>
      <c r="AG4" s="6">
        <v>0.33</v>
      </c>
      <c r="AH4" s="6">
        <v>0.28000000000000003</v>
      </c>
      <c r="AI4" s="6">
        <v>0.3</v>
      </c>
      <c r="AJ4" s="6">
        <v>0.28999999999999998</v>
      </c>
    </row>
    <row r="5" spans="1:36" x14ac:dyDescent="0.2">
      <c r="A5" s="8">
        <v>2</v>
      </c>
      <c r="B5" s="6">
        <f>'Actual Values'!$B$3*'NOLH Designs (2)'!B6</f>
        <v>7596288</v>
      </c>
      <c r="C5" s="6">
        <f>'Actual Values'!$B$5*'NOLH Designs (2)'!B6</f>
        <v>6664896</v>
      </c>
      <c r="D5" s="6">
        <f>'Actual Values'!$B$7*'NOLH Designs (2)'!B6</f>
        <v>3497220</v>
      </c>
      <c r="E5" s="6">
        <f>'Actual Values'!$B$9*'NOLH Designs (2)'!B6</f>
        <v>2612163.6</v>
      </c>
      <c r="F5" s="12">
        <f>'Actual Values'!$C$3*'NOLH Designs (2)'!C6</f>
        <v>180863.99999999988</v>
      </c>
      <c r="G5" s="12">
        <f>'Actual Values'!$C$3-'ExpValues Eq'!F5</f>
        <v>1024896.0000000001</v>
      </c>
      <c r="H5" s="12">
        <f>F5+'Actual Values'!$D$3</f>
        <v>403863.99999999988</v>
      </c>
      <c r="I5" s="12">
        <f>'Actual Values'!$C$5*'NOLH Designs (2)'!D6</f>
        <v>222163.19999999995</v>
      </c>
      <c r="J5" s="12">
        <f>'Actual Values'!$C$5-'ExpValues Eq'!I5</f>
        <v>835756.8</v>
      </c>
      <c r="K5" s="12">
        <f>I5+'Actual Values'!$D$5</f>
        <v>480163.19999999995</v>
      </c>
      <c r="L5" s="12">
        <f>'Actual Values'!$C$7*'NOLH Designs (2)'!E6</f>
        <v>127676.21999999999</v>
      </c>
      <c r="M5" s="12">
        <f>'Actual Values'!$C$7-'ExpValues Eq'!L5</f>
        <v>427437.78</v>
      </c>
      <c r="N5" s="12">
        <f>L5+'Actual Values'!$D$7</f>
        <v>301281.21999999997</v>
      </c>
      <c r="O5" s="12">
        <f>'Actual Values'!$C$9*'NOLH Designs (2)'!F6</f>
        <v>20731.450000000019</v>
      </c>
      <c r="P5" s="12">
        <f>'Actual Values'!$C$9-'ExpValues Eq'!O5</f>
        <v>393897.55</v>
      </c>
      <c r="Q5" s="12">
        <f>O5+'Actual Values'!$D$9</f>
        <v>69706.450000000012</v>
      </c>
      <c r="R5" s="12">
        <f>'Actual Values'!$A$21*'NOLH Designs (2)'!S6</f>
        <v>82.960000000000008</v>
      </c>
      <c r="S5" s="12">
        <f>'Actual Values'!$B$21*'NOLH Designs (2)'!S6</f>
        <v>142.12</v>
      </c>
      <c r="T5" s="12">
        <f>'Actual Values'!$C$21*'NOLH Designs (2)'!S6</f>
        <v>83.64</v>
      </c>
      <c r="U5" s="12">
        <f>'Actual Values'!$A$25*'NOLH Designs (2)'!T6</f>
        <v>53.25</v>
      </c>
      <c r="V5" s="12">
        <f>'Actual Values'!$B$25*'NOLH Designs (2)'!T6</f>
        <v>86.61999999999999</v>
      </c>
      <c r="W5" s="12">
        <f>'Actual Values'!$A$13*'NOLH Designs (2)'!G6</f>
        <v>28.799999999999997</v>
      </c>
      <c r="X5" s="12">
        <f>'Actual Values'!$B$13*'NOLH Designs (2)'!H6</f>
        <v>56.4</v>
      </c>
      <c r="Y5" s="12">
        <f>'Actual Values'!$A$17*'NOLH Designs (2)'!Q6</f>
        <v>4.5999999999999996</v>
      </c>
      <c r="Z5" s="12">
        <f>'Actual Values'!$B$17*'NOLH Designs (2)'!R6</f>
        <v>39.6</v>
      </c>
      <c r="AA5" s="12">
        <f>'Actual Values'!$C$17*'NOLH Designs (2)'!Q6</f>
        <v>2.2999999999999998</v>
      </c>
      <c r="AB5" s="12">
        <f>'Actual Values'!$D$17*'NOLH Designs (2)'!R6</f>
        <v>18</v>
      </c>
      <c r="AC5" s="6">
        <v>0.66</v>
      </c>
      <c r="AD5" s="6">
        <v>0.24</v>
      </c>
      <c r="AE5" s="6">
        <v>0.21</v>
      </c>
      <c r="AF5" s="6">
        <v>0.88</v>
      </c>
      <c r="AG5" s="6">
        <v>0.28000000000000003</v>
      </c>
      <c r="AH5" s="6">
        <v>0.28999999999999998</v>
      </c>
      <c r="AI5" s="6">
        <v>0.28999999999999998</v>
      </c>
      <c r="AJ5" s="6">
        <v>0.25</v>
      </c>
    </row>
    <row r="6" spans="1:36" x14ac:dyDescent="0.2">
      <c r="A6" s="8">
        <v>3</v>
      </c>
      <c r="B6" s="6">
        <f>'Actual Values'!$B$3*'NOLH Designs (2)'!B7</f>
        <v>6140332.7999999998</v>
      </c>
      <c r="C6" s="6">
        <f>'Actual Values'!$B$5*'NOLH Designs (2)'!B7</f>
        <v>5387457.5999999996</v>
      </c>
      <c r="D6" s="6">
        <f>'Actual Values'!$B$7*'NOLH Designs (2)'!B7</f>
        <v>2826919.5</v>
      </c>
      <c r="E6" s="6">
        <f>'Actual Values'!$B$9*'NOLH Designs (2)'!B7</f>
        <v>2111498.91</v>
      </c>
      <c r="F6" s="12">
        <f>'Actual Values'!$C$3*'NOLH Designs (2)'!C7</f>
        <v>458188.79999999987</v>
      </c>
      <c r="G6" s="12">
        <f>'Actual Values'!$C$3-'ExpValues Eq'!F6</f>
        <v>747571.20000000019</v>
      </c>
      <c r="H6" s="12">
        <f>F6+'Actual Values'!$D$3</f>
        <v>681188.79999999981</v>
      </c>
      <c r="I6" s="12">
        <f>'Actual Values'!$C$5*'NOLH Designs (2)'!D7</f>
        <v>0</v>
      </c>
      <c r="J6" s="12">
        <f>'Actual Values'!$C$5-'ExpValues Eq'!I6</f>
        <v>1057920</v>
      </c>
      <c r="K6" s="12">
        <f>I6+'Actual Values'!$D$5</f>
        <v>258000</v>
      </c>
      <c r="L6" s="12">
        <f>'Actual Values'!$C$7*'NOLH Designs (2)'!E7</f>
        <v>77715.959999999948</v>
      </c>
      <c r="M6" s="12">
        <f>'Actual Values'!$C$7-'ExpValues Eq'!L6</f>
        <v>477398.04000000004</v>
      </c>
      <c r="N6" s="12">
        <f>L6+'Actual Values'!$D$7</f>
        <v>251320.95999999996</v>
      </c>
      <c r="O6" s="12">
        <f>'Actual Values'!$C$9*'NOLH Designs (2)'!F7</f>
        <v>87072.089999999982</v>
      </c>
      <c r="P6" s="12">
        <f>'Actual Values'!$C$9-'ExpValues Eq'!O6</f>
        <v>327556.91000000003</v>
      </c>
      <c r="Q6" s="12">
        <f>O6+'Actual Values'!$D$9</f>
        <v>136047.08999999997</v>
      </c>
      <c r="R6" s="12">
        <f>'Actual Values'!$A$21*'NOLH Designs (2)'!S7</f>
        <v>43.92</v>
      </c>
      <c r="S6" s="12">
        <f>'Actual Values'!$B$21*'NOLH Designs (2)'!S7</f>
        <v>75.239999999999995</v>
      </c>
      <c r="T6" s="12">
        <f>'Actual Values'!$C$21*'NOLH Designs (2)'!S7</f>
        <v>44.28</v>
      </c>
      <c r="U6" s="12">
        <f>'Actual Values'!$A$25*'NOLH Designs (2)'!T7</f>
        <v>66</v>
      </c>
      <c r="V6" s="12">
        <f>'Actual Values'!$B$25*'NOLH Designs (2)'!T7</f>
        <v>107.36</v>
      </c>
      <c r="W6" s="12">
        <f>'Actual Values'!$A$13*'NOLH Designs (2)'!G7</f>
        <v>21.9</v>
      </c>
      <c r="X6" s="12">
        <f>'Actual Values'!$B$13*'NOLH Designs (2)'!H7</f>
        <v>72</v>
      </c>
      <c r="Y6" s="12">
        <f>'Actual Values'!$A$17*'NOLH Designs (2)'!Q7</f>
        <v>4.28</v>
      </c>
      <c r="Z6" s="12">
        <f>'Actual Values'!$B$17*'NOLH Designs (2)'!R7</f>
        <v>33.99</v>
      </c>
      <c r="AA6" s="12">
        <f>'Actual Values'!$C$17*'NOLH Designs (2)'!Q7</f>
        <v>2.14</v>
      </c>
      <c r="AB6" s="12">
        <f>'Actual Values'!$D$17*'NOLH Designs (2)'!R7</f>
        <v>15.450000000000001</v>
      </c>
      <c r="AC6" s="6">
        <v>0.79</v>
      </c>
      <c r="AD6" s="6">
        <v>0.28000000000000003</v>
      </c>
      <c r="AE6" s="6">
        <v>0.27</v>
      </c>
      <c r="AF6" s="6">
        <v>0.74</v>
      </c>
      <c r="AG6" s="6">
        <v>0.15</v>
      </c>
      <c r="AH6" s="6">
        <v>0.25</v>
      </c>
      <c r="AI6" s="6">
        <v>0.27</v>
      </c>
      <c r="AJ6" s="6">
        <v>0.3</v>
      </c>
    </row>
    <row r="7" spans="1:36" x14ac:dyDescent="0.2">
      <c r="A7" s="8">
        <v>4</v>
      </c>
      <c r="B7" s="6">
        <f>'Actual Values'!$B$3*'NOLH Designs (2)'!B8</f>
        <v>6963264.0000000009</v>
      </c>
      <c r="C7" s="6">
        <f>'Actual Values'!$B$5*'NOLH Designs (2)'!B8</f>
        <v>6109488.0000000009</v>
      </c>
      <c r="D7" s="6">
        <f>'Actual Values'!$B$7*'NOLH Designs (2)'!B8</f>
        <v>3205785.0000000005</v>
      </c>
      <c r="E7" s="6">
        <f>'Actual Values'!$B$9*'NOLH Designs (2)'!B8</f>
        <v>2394483.3000000003</v>
      </c>
      <c r="F7" s="12">
        <f>'Actual Values'!$C$3*'NOLH Designs (2)'!C8</f>
        <v>542592</v>
      </c>
      <c r="G7" s="12">
        <f>'Actual Values'!$C$3-'ExpValues Eq'!F7</f>
        <v>663168</v>
      </c>
      <c r="H7" s="12">
        <f>F7+'Actual Values'!$D$3</f>
        <v>765592</v>
      </c>
      <c r="I7" s="12">
        <f>'Actual Values'!$C$5*'NOLH Designs (2)'!D8</f>
        <v>158687.99999999991</v>
      </c>
      <c r="J7" s="12">
        <f>'Actual Values'!$C$5-'ExpValues Eq'!I7</f>
        <v>899232.00000000012</v>
      </c>
      <c r="K7" s="12">
        <f>I7+'Actual Values'!$D$5</f>
        <v>416687.99999999988</v>
      </c>
      <c r="L7" s="12">
        <f>'Actual Values'!$C$7*'NOLH Designs (2)'!E8</f>
        <v>99920.51999999996</v>
      </c>
      <c r="M7" s="12">
        <f>'Actual Values'!$C$7-'ExpValues Eq'!L7</f>
        <v>455193.48000000004</v>
      </c>
      <c r="N7" s="12">
        <f>L7+'Actual Values'!$D$7</f>
        <v>273525.51999999996</v>
      </c>
      <c r="O7" s="12">
        <f>'Actual Values'!$C$9*'NOLH Designs (2)'!F8</f>
        <v>91218.37999999999</v>
      </c>
      <c r="P7" s="12">
        <f>'Actual Values'!$C$9-'ExpValues Eq'!O7</f>
        <v>323410.62</v>
      </c>
      <c r="Q7" s="12">
        <f>O7+'Actual Values'!$D$9</f>
        <v>140193.38</v>
      </c>
      <c r="R7" s="12">
        <f>'Actual Values'!$A$21*'NOLH Designs (2)'!S8</f>
        <v>63.440000000000005</v>
      </c>
      <c r="S7" s="12">
        <f>'Actual Values'!$B$21*'NOLH Designs (2)'!S8</f>
        <v>108.68</v>
      </c>
      <c r="T7" s="12">
        <f>'Actual Values'!$C$21*'NOLH Designs (2)'!S8</f>
        <v>63.96</v>
      </c>
      <c r="U7" s="12">
        <f>'Actual Values'!$A$25*'NOLH Designs (2)'!T8</f>
        <v>51.749999999999993</v>
      </c>
      <c r="V7" s="12">
        <f>'Actual Values'!$B$25*'NOLH Designs (2)'!T8</f>
        <v>84.179999999999993</v>
      </c>
      <c r="W7" s="12">
        <f>'Actual Values'!$A$13*'NOLH Designs (2)'!G8</f>
        <v>36.299999999999997</v>
      </c>
      <c r="X7" s="12">
        <f>'Actual Values'!$B$13*'NOLH Designs (2)'!H8</f>
        <v>39.6</v>
      </c>
      <c r="Y7" s="12">
        <f>'Actual Values'!$A$17*'NOLH Designs (2)'!Q8</f>
        <v>4.92</v>
      </c>
      <c r="Z7" s="12">
        <f>'Actual Values'!$B$17*'NOLH Designs (2)'!R8</f>
        <v>34.65</v>
      </c>
      <c r="AA7" s="12">
        <f>'Actual Values'!$C$17*'NOLH Designs (2)'!Q8</f>
        <v>2.46</v>
      </c>
      <c r="AB7" s="12">
        <f>'Actual Values'!$D$17*'NOLH Designs (2)'!R8</f>
        <v>15.75</v>
      </c>
      <c r="AC7" s="6">
        <v>0.72</v>
      </c>
      <c r="AD7" s="6">
        <v>0.18</v>
      </c>
      <c r="AE7" s="6">
        <v>0.24</v>
      </c>
      <c r="AF7" s="6">
        <v>0.72</v>
      </c>
      <c r="AG7" s="6">
        <v>0.21</v>
      </c>
      <c r="AH7" s="6">
        <v>0.2</v>
      </c>
      <c r="AI7" s="6">
        <v>0.3</v>
      </c>
      <c r="AJ7" s="6">
        <v>0.23</v>
      </c>
    </row>
    <row r="8" spans="1:36" x14ac:dyDescent="0.2">
      <c r="A8" s="8">
        <v>5</v>
      </c>
      <c r="B8" s="6">
        <f>'Actual Values'!$B$3*'NOLH Designs (2)'!B9</f>
        <v>4747680</v>
      </c>
      <c r="C8" s="6">
        <f>'Actual Values'!$B$5*'NOLH Designs (2)'!B9</f>
        <v>4165560</v>
      </c>
      <c r="D8" s="6">
        <f>'Actual Values'!$B$7*'NOLH Designs (2)'!B9</f>
        <v>2185762.5</v>
      </c>
      <c r="E8" s="6">
        <f>'Actual Values'!$B$9*'NOLH Designs (2)'!B9</f>
        <v>1632602.25</v>
      </c>
      <c r="F8" s="12">
        <f>'Actual Values'!$C$3*'NOLH Designs (2)'!C9</f>
        <v>241151.99999999994</v>
      </c>
      <c r="G8" s="12">
        <f>'Actual Values'!$C$3-'ExpValues Eq'!F8</f>
        <v>964608</v>
      </c>
      <c r="H8" s="12">
        <f>F8+'Actual Values'!$D$3</f>
        <v>464151.99999999994</v>
      </c>
      <c r="I8" s="12">
        <f>'Actual Values'!$C$5*'NOLH Designs (2)'!D9</f>
        <v>296217.60000000003</v>
      </c>
      <c r="J8" s="12">
        <f>'Actual Values'!$C$5-'ExpValues Eq'!I8</f>
        <v>761702.39999999991</v>
      </c>
      <c r="K8" s="12">
        <f>I8+'Actual Values'!$D$5</f>
        <v>554217.60000000009</v>
      </c>
      <c r="L8" s="12">
        <f>'Actual Values'!$C$7*'NOLH Designs (2)'!E9</f>
        <v>66613.680000000066</v>
      </c>
      <c r="M8" s="12">
        <f>'Actual Values'!$C$7-'ExpValues Eq'!L8</f>
        <v>488500.31999999995</v>
      </c>
      <c r="N8" s="12">
        <f>L8+'Actual Values'!$D$7</f>
        <v>240218.68000000005</v>
      </c>
      <c r="O8" s="12">
        <f>'Actual Values'!$C$9*'NOLH Designs (2)'!F9</f>
        <v>20731.450000000019</v>
      </c>
      <c r="P8" s="12">
        <f>'Actual Values'!$C$9-'ExpValues Eq'!O8</f>
        <v>393897.55</v>
      </c>
      <c r="Q8" s="12">
        <f>O8+'Actual Values'!$D$9</f>
        <v>69706.450000000012</v>
      </c>
      <c r="R8" s="12">
        <f>'Actual Values'!$A$21*'NOLH Designs (2)'!S9</f>
        <v>91.5</v>
      </c>
      <c r="S8" s="12">
        <f>'Actual Values'!$B$21*'NOLH Designs (2)'!S9</f>
        <v>156.75</v>
      </c>
      <c r="T8" s="12">
        <f>'Actual Values'!$C$21*'NOLH Designs (2)'!S9</f>
        <v>92.25</v>
      </c>
      <c r="U8" s="12">
        <f>'Actual Values'!$A$25*'NOLH Designs (2)'!T9</f>
        <v>59.25</v>
      </c>
      <c r="V8" s="12">
        <f>'Actual Values'!$B$25*'NOLH Designs (2)'!T9</f>
        <v>96.38000000000001</v>
      </c>
      <c r="W8" s="12">
        <f>'Actual Values'!$A$13*'NOLH Designs (2)'!G9</f>
        <v>30.900000000000002</v>
      </c>
      <c r="X8" s="12">
        <f>'Actual Values'!$B$13*'NOLH Designs (2)'!H9</f>
        <v>53.4</v>
      </c>
      <c r="Y8" s="12">
        <f>'Actual Values'!$A$17*'NOLH Designs (2)'!Q9</f>
        <v>3.88</v>
      </c>
      <c r="Z8" s="12">
        <f>'Actual Values'!$B$17*'NOLH Designs (2)'!R9</f>
        <v>39.269999999999996</v>
      </c>
      <c r="AA8" s="12">
        <f>'Actual Values'!$C$17*'NOLH Designs (2)'!Q9</f>
        <v>1.94</v>
      </c>
      <c r="AB8" s="12">
        <f>'Actual Values'!$D$17*'NOLH Designs (2)'!R9</f>
        <v>17.849999999999998</v>
      </c>
      <c r="AC8" s="6">
        <v>0.88</v>
      </c>
      <c r="AD8" s="6">
        <v>0.4</v>
      </c>
      <c r="AE8" s="6">
        <v>0.28999999999999998</v>
      </c>
      <c r="AF8" s="6">
        <v>0.63</v>
      </c>
      <c r="AG8" s="6">
        <v>0.4</v>
      </c>
      <c r="AH8" s="6">
        <v>0.36</v>
      </c>
      <c r="AI8" s="6">
        <v>0.15</v>
      </c>
      <c r="AJ8" s="6">
        <v>0.19</v>
      </c>
    </row>
    <row r="9" spans="1:36" x14ac:dyDescent="0.2">
      <c r="A9" s="8">
        <v>6</v>
      </c>
      <c r="B9" s="6">
        <f>'Actual Values'!$B$3*'NOLH Designs (2)'!B10</f>
        <v>6963264.0000000009</v>
      </c>
      <c r="C9" s="6">
        <f>'Actual Values'!$B$5*'NOLH Designs (2)'!B10</f>
        <v>6109488.0000000009</v>
      </c>
      <c r="D9" s="6">
        <f>'Actual Values'!$B$7*'NOLH Designs (2)'!B10</f>
        <v>3205785.0000000005</v>
      </c>
      <c r="E9" s="6">
        <f>'Actual Values'!$B$9*'NOLH Designs (2)'!B10</f>
        <v>2394483.3000000003</v>
      </c>
      <c r="F9" s="12">
        <f>'Actual Values'!$C$3*'NOLH Designs (2)'!C10</f>
        <v>253209.59999999995</v>
      </c>
      <c r="G9" s="12">
        <f>'Actual Values'!$C$3-'ExpValues Eq'!F9</f>
        <v>952550.40000000002</v>
      </c>
      <c r="H9" s="12">
        <f>F9+'Actual Values'!$D$3</f>
        <v>476209.6</v>
      </c>
      <c r="I9" s="12">
        <f>'Actual Values'!$C$5*'NOLH Designs (2)'!D10</f>
        <v>370272.00000000012</v>
      </c>
      <c r="J9" s="12">
        <f>'Actual Values'!$C$5-'ExpValues Eq'!I9</f>
        <v>687647.99999999988</v>
      </c>
      <c r="K9" s="12">
        <f>I9+'Actual Values'!$D$5</f>
        <v>628272.00000000012</v>
      </c>
      <c r="L9" s="12">
        <f>'Actual Values'!$C$7*'NOLH Designs (2)'!E10</f>
        <v>0</v>
      </c>
      <c r="M9" s="12">
        <f>'Actual Values'!$C$7-'ExpValues Eq'!L9</f>
        <v>555114</v>
      </c>
      <c r="N9" s="12">
        <f>L9+'Actual Values'!$D$7</f>
        <v>173605</v>
      </c>
      <c r="O9" s="12">
        <f>'Actual Values'!$C$9*'NOLH Designs (2)'!F10</f>
        <v>82925.799999999988</v>
      </c>
      <c r="P9" s="12">
        <f>'Actual Values'!$C$9-'ExpValues Eq'!O9</f>
        <v>331703.2</v>
      </c>
      <c r="Q9" s="12">
        <f>O9+'Actual Values'!$D$9</f>
        <v>131900.79999999999</v>
      </c>
      <c r="R9" s="12">
        <f>'Actual Values'!$A$21*'NOLH Designs (2)'!S10</f>
        <v>111.02000000000001</v>
      </c>
      <c r="S9" s="12">
        <f>'Actual Values'!$B$21*'NOLH Designs (2)'!S10</f>
        <v>190.19</v>
      </c>
      <c r="T9" s="12">
        <f>'Actual Values'!$C$21*'NOLH Designs (2)'!S10</f>
        <v>111.93</v>
      </c>
      <c r="U9" s="12">
        <f>'Actual Values'!$A$25*'NOLH Designs (2)'!T10</f>
        <v>61.499999999999993</v>
      </c>
      <c r="V9" s="12">
        <f>'Actual Values'!$B$25*'NOLH Designs (2)'!T10</f>
        <v>100.03999999999999</v>
      </c>
      <c r="W9" s="12">
        <f>'Actual Values'!$A$13*'NOLH Designs (2)'!G10</f>
        <v>25.8</v>
      </c>
      <c r="X9" s="12">
        <f>'Actual Values'!$B$13*'NOLH Designs (2)'!H10</f>
        <v>64.2</v>
      </c>
      <c r="Y9" s="12">
        <f>'Actual Values'!$A$17*'NOLH Designs (2)'!Q10</f>
        <v>3.68</v>
      </c>
      <c r="Z9" s="12">
        <f>'Actual Values'!$B$17*'NOLH Designs (2)'!R10</f>
        <v>39.93</v>
      </c>
      <c r="AA9" s="12">
        <f>'Actual Values'!$C$17*'NOLH Designs (2)'!Q10</f>
        <v>1.84</v>
      </c>
      <c r="AB9" s="12">
        <f>'Actual Values'!$D$17*'NOLH Designs (2)'!R10</f>
        <v>18.149999999999999</v>
      </c>
      <c r="AC9" s="6">
        <v>0.61</v>
      </c>
      <c r="AD9" s="6">
        <v>0.18</v>
      </c>
      <c r="AE9" s="6">
        <v>0.14000000000000001</v>
      </c>
      <c r="AF9" s="6">
        <v>0.65</v>
      </c>
      <c r="AG9" s="6">
        <v>0.4</v>
      </c>
      <c r="AH9" s="6">
        <v>0.28999999999999998</v>
      </c>
      <c r="AI9" s="6">
        <v>0.2</v>
      </c>
      <c r="AJ9" s="6">
        <v>0.16</v>
      </c>
    </row>
    <row r="10" spans="1:36" x14ac:dyDescent="0.2">
      <c r="A10" s="8">
        <v>7</v>
      </c>
      <c r="B10" s="6">
        <f>'Actual Values'!$B$3*'NOLH Designs (2)'!B11</f>
        <v>6013728</v>
      </c>
      <c r="C10" s="6">
        <f>'Actual Values'!$B$5*'NOLH Designs (2)'!B11</f>
        <v>5276376</v>
      </c>
      <c r="D10" s="6">
        <f>'Actual Values'!$B$7*'NOLH Designs (2)'!B11</f>
        <v>2768632.5</v>
      </c>
      <c r="E10" s="6">
        <f>'Actual Values'!$B$9*'NOLH Designs (2)'!B11</f>
        <v>2067962.8499999999</v>
      </c>
      <c r="F10" s="12">
        <f>'Actual Values'!$C$3*'NOLH Designs (2)'!C11</f>
        <v>602880</v>
      </c>
      <c r="G10" s="12">
        <f>'Actual Values'!$C$3-'ExpValues Eq'!F10</f>
        <v>602880</v>
      </c>
      <c r="H10" s="12">
        <f>F10+'Actual Values'!$D$3</f>
        <v>825880</v>
      </c>
      <c r="I10" s="12">
        <f>'Actual Values'!$C$5*'NOLH Designs (2)'!D11</f>
        <v>402009.59999999986</v>
      </c>
      <c r="J10" s="12">
        <f>'Actual Values'!$C$5-'ExpValues Eq'!I10</f>
        <v>655910.40000000014</v>
      </c>
      <c r="K10" s="12">
        <f>I10+'Actual Values'!$D$5</f>
        <v>660009.59999999986</v>
      </c>
      <c r="L10" s="12">
        <f>'Actual Values'!$C$7*'NOLH Designs (2)'!E11</f>
        <v>77715.959999999948</v>
      </c>
      <c r="M10" s="12">
        <f>'Actual Values'!$C$7-'ExpValues Eq'!L10</f>
        <v>477398.04000000004</v>
      </c>
      <c r="N10" s="12">
        <f>L10+'Actual Values'!$D$7</f>
        <v>251320.95999999996</v>
      </c>
      <c r="O10" s="12">
        <f>'Actual Values'!$C$9*'NOLH Designs (2)'!F11</f>
        <v>33170.320000000029</v>
      </c>
      <c r="P10" s="12">
        <f>'Actual Values'!$C$9-'ExpValues Eq'!O10</f>
        <v>381458.68</v>
      </c>
      <c r="Q10" s="12">
        <f>O10+'Actual Values'!$D$9</f>
        <v>82145.320000000036</v>
      </c>
      <c r="R10" s="12">
        <f>'Actual Values'!$A$21*'NOLH Designs (2)'!S11</f>
        <v>62.22</v>
      </c>
      <c r="S10" s="12">
        <f>'Actual Values'!$B$21*'NOLH Designs (2)'!S11</f>
        <v>106.59</v>
      </c>
      <c r="T10" s="12">
        <f>'Actual Values'!$C$21*'NOLH Designs (2)'!S11</f>
        <v>62.730000000000004</v>
      </c>
      <c r="U10" s="12">
        <f>'Actual Values'!$A$25*'NOLH Designs (2)'!T11</f>
        <v>71.25</v>
      </c>
      <c r="V10" s="12">
        <f>'Actual Values'!$B$25*'NOLH Designs (2)'!T11</f>
        <v>115.89999999999999</v>
      </c>
      <c r="W10" s="12">
        <f>'Actual Values'!$A$13*'NOLH Designs (2)'!G11</f>
        <v>23.400000000000002</v>
      </c>
      <c r="X10" s="12">
        <f>'Actual Values'!$B$13*'NOLH Designs (2)'!H11</f>
        <v>47.400000000000006</v>
      </c>
      <c r="Y10" s="12">
        <f>'Actual Values'!$A$17*'NOLH Designs (2)'!Q11</f>
        <v>3.64</v>
      </c>
      <c r="Z10" s="12">
        <f>'Actual Values'!$B$17*'NOLH Designs (2)'!R11</f>
        <v>39.93</v>
      </c>
      <c r="AA10" s="12">
        <f>'Actual Values'!$C$17*'NOLH Designs (2)'!Q11</f>
        <v>1.82</v>
      </c>
      <c r="AB10" s="12">
        <f>'Actual Values'!$D$17*'NOLH Designs (2)'!R11</f>
        <v>18.149999999999999</v>
      </c>
      <c r="AC10" s="6">
        <v>0.88</v>
      </c>
      <c r="AD10" s="6">
        <v>0.39</v>
      </c>
      <c r="AE10" s="6">
        <v>0.32</v>
      </c>
      <c r="AF10" s="6">
        <v>0.81</v>
      </c>
      <c r="AG10" s="6">
        <v>0.13</v>
      </c>
      <c r="AH10" s="6">
        <v>0.1</v>
      </c>
      <c r="AI10" s="6">
        <v>0.12</v>
      </c>
      <c r="AJ10" s="6">
        <v>0.19</v>
      </c>
    </row>
    <row r="11" spans="1:36" x14ac:dyDescent="0.2">
      <c r="A11" s="8">
        <v>8</v>
      </c>
      <c r="B11" s="6">
        <f>'Actual Values'!$B$3*'NOLH Designs (2)'!B12</f>
        <v>6583449.6000000006</v>
      </c>
      <c r="C11" s="6">
        <f>'Actual Values'!$B$5*'NOLH Designs (2)'!B12</f>
        <v>5776243.2000000002</v>
      </c>
      <c r="D11" s="6">
        <f>'Actual Values'!$B$7*'NOLH Designs (2)'!B12</f>
        <v>3030924</v>
      </c>
      <c r="E11" s="6">
        <f>'Actual Values'!$B$9*'NOLH Designs (2)'!B12</f>
        <v>2263875.12</v>
      </c>
      <c r="F11" s="12">
        <f>'Actual Values'!$C$3*'NOLH Designs (2)'!C12</f>
        <v>422016.00000000012</v>
      </c>
      <c r="G11" s="12">
        <f>'Actual Values'!$C$3-'ExpValues Eq'!F11</f>
        <v>783743.99999999988</v>
      </c>
      <c r="H11" s="12">
        <f>F11+'Actual Values'!$D$3</f>
        <v>645016.00000000012</v>
      </c>
      <c r="I11" s="12">
        <f>'Actual Values'!$C$5*'NOLH Designs (2)'!D12</f>
        <v>476063.99999999994</v>
      </c>
      <c r="J11" s="12">
        <f>'Actual Values'!$C$5-'ExpValues Eq'!I11</f>
        <v>581856</v>
      </c>
      <c r="K11" s="12">
        <f>I11+'Actual Values'!$D$5</f>
        <v>734064</v>
      </c>
      <c r="L11" s="12">
        <f>'Actual Values'!$C$7*'NOLH Designs (2)'!E12</f>
        <v>16653.420000000016</v>
      </c>
      <c r="M11" s="12">
        <f>'Actual Values'!$C$7-'ExpValues Eq'!L11</f>
        <v>538460.57999999996</v>
      </c>
      <c r="N11" s="12">
        <f>L11+'Actual Values'!$D$7</f>
        <v>190258.42</v>
      </c>
      <c r="O11" s="12">
        <f>'Actual Values'!$C$9*'NOLH Designs (2)'!F12</f>
        <v>70486.929999999964</v>
      </c>
      <c r="P11" s="12">
        <f>'Actual Values'!$C$9-'ExpValues Eq'!O11</f>
        <v>344142.07000000007</v>
      </c>
      <c r="Q11" s="12">
        <f>O11+'Actual Values'!$D$9</f>
        <v>119461.92999999996</v>
      </c>
      <c r="R11" s="12">
        <f>'Actual Values'!$A$21*'NOLH Designs (2)'!S12</f>
        <v>39.04</v>
      </c>
      <c r="S11" s="12">
        <f>'Actual Values'!$B$21*'NOLH Designs (2)'!S12</f>
        <v>66.88</v>
      </c>
      <c r="T11" s="12">
        <f>'Actual Values'!$C$21*'NOLH Designs (2)'!S12</f>
        <v>39.36</v>
      </c>
      <c r="U11" s="12">
        <f>'Actual Values'!$A$25*'NOLH Designs (2)'!T12</f>
        <v>73.5</v>
      </c>
      <c r="V11" s="12">
        <f>'Actual Values'!$B$25*'NOLH Designs (2)'!T12</f>
        <v>119.56</v>
      </c>
      <c r="W11" s="12">
        <f>'Actual Values'!$A$13*'NOLH Designs (2)'!G12</f>
        <v>40.200000000000003</v>
      </c>
      <c r="X11" s="12">
        <f>'Actual Values'!$B$13*'NOLH Designs (2)'!H12</f>
        <v>77.400000000000006</v>
      </c>
      <c r="Y11" s="12">
        <f>'Actual Values'!$A$17*'NOLH Designs (2)'!Q12</f>
        <v>3.84</v>
      </c>
      <c r="Z11" s="12">
        <f>'Actual Values'!$B$17*'NOLH Designs (2)'!R12</f>
        <v>32.339999999999996</v>
      </c>
      <c r="AA11" s="12">
        <f>'Actual Values'!$C$17*'NOLH Designs (2)'!Q12</f>
        <v>1.92</v>
      </c>
      <c r="AB11" s="12">
        <f>'Actual Values'!$D$17*'NOLH Designs (2)'!R12</f>
        <v>14.7</v>
      </c>
      <c r="AC11" s="6">
        <v>0.6</v>
      </c>
      <c r="AD11" s="6">
        <v>0.19</v>
      </c>
      <c r="AE11" s="6">
        <v>0.16</v>
      </c>
      <c r="AF11" s="6">
        <v>0.75</v>
      </c>
      <c r="AG11" s="6">
        <v>0.13</v>
      </c>
      <c r="AH11" s="6">
        <v>0.15</v>
      </c>
      <c r="AI11" s="6">
        <v>0.16</v>
      </c>
      <c r="AJ11" s="6">
        <v>0.17</v>
      </c>
    </row>
    <row r="12" spans="1:36" x14ac:dyDescent="0.2">
      <c r="A12" s="8">
        <v>9</v>
      </c>
      <c r="B12" s="6">
        <f>'Actual Values'!$B$3*'NOLH Designs (2)'!B13</f>
        <v>4810982.4000000004</v>
      </c>
      <c r="C12" s="6">
        <f>'Actual Values'!$B$5*'NOLH Designs (2)'!B13</f>
        <v>4221100.8</v>
      </c>
      <c r="D12" s="6">
        <f>'Actual Values'!$B$7*'NOLH Designs (2)'!B13</f>
        <v>2214906</v>
      </c>
      <c r="E12" s="6">
        <f>'Actual Values'!$B$9*'NOLH Designs (2)'!B13</f>
        <v>1654370.28</v>
      </c>
      <c r="F12" s="12">
        <f>'Actual Values'!$C$3*'NOLH Designs (2)'!C13</f>
        <v>24115.200000000023</v>
      </c>
      <c r="G12" s="12">
        <f>'Actual Values'!$C$3-'ExpValues Eq'!F12</f>
        <v>1181644.8</v>
      </c>
      <c r="H12" s="12">
        <f>F12+'Actual Values'!$D$3</f>
        <v>247115.2</v>
      </c>
      <c r="I12" s="12">
        <f>'Actual Values'!$C$5*'NOLH Designs (2)'!D13</f>
        <v>137529.59999999989</v>
      </c>
      <c r="J12" s="12">
        <f>'Actual Values'!$C$5-'ExpValues Eq'!I12</f>
        <v>920390.40000000014</v>
      </c>
      <c r="K12" s="12">
        <f>I12+'Actual Values'!$D$5</f>
        <v>395529.59999999986</v>
      </c>
      <c r="L12" s="12">
        <f>'Actual Values'!$C$7*'NOLH Designs (2)'!E13</f>
        <v>55511.400000000052</v>
      </c>
      <c r="M12" s="12">
        <f>'Actual Values'!$C$7-'ExpValues Eq'!L12</f>
        <v>499602.6</v>
      </c>
      <c r="N12" s="12">
        <f>L12+'Actual Values'!$D$7</f>
        <v>229116.40000000005</v>
      </c>
      <c r="O12" s="12">
        <f>'Actual Values'!$C$9*'NOLH Designs (2)'!F13</f>
        <v>41462.900000000038</v>
      </c>
      <c r="P12" s="12">
        <f>'Actual Values'!$C$9-'ExpValues Eq'!O12</f>
        <v>373166.1</v>
      </c>
      <c r="Q12" s="12">
        <f>O12+'Actual Values'!$D$9</f>
        <v>90437.900000000038</v>
      </c>
      <c r="R12" s="12">
        <f>'Actual Values'!$A$21*'NOLH Designs (2)'!S13</f>
        <v>119.56</v>
      </c>
      <c r="S12" s="12">
        <f>'Actual Values'!$B$21*'NOLH Designs (2)'!S13</f>
        <v>204.82</v>
      </c>
      <c r="T12" s="12">
        <f>'Actual Values'!$C$21*'NOLH Designs (2)'!S13</f>
        <v>120.53999999999999</v>
      </c>
      <c r="U12" s="12">
        <f>'Actual Values'!$A$25*'NOLH Designs (2)'!T13</f>
        <v>37.5</v>
      </c>
      <c r="V12" s="12">
        <f>'Actual Values'!$B$25*'NOLH Designs (2)'!T13</f>
        <v>61</v>
      </c>
      <c r="W12" s="12">
        <f>'Actual Values'!$A$13*'NOLH Designs (2)'!G13</f>
        <v>41.4</v>
      </c>
      <c r="X12" s="12">
        <f>'Actual Values'!$B$13*'NOLH Designs (2)'!H13</f>
        <v>70.8</v>
      </c>
      <c r="Y12" s="12">
        <f>'Actual Values'!$A$17*'NOLH Designs (2)'!Q13</f>
        <v>4.5999999999999996</v>
      </c>
      <c r="Z12" s="12">
        <f>'Actual Values'!$B$17*'NOLH Designs (2)'!R13</f>
        <v>37.619999999999997</v>
      </c>
      <c r="AA12" s="12">
        <f>'Actual Values'!$C$17*'NOLH Designs (2)'!Q13</f>
        <v>2.2999999999999998</v>
      </c>
      <c r="AB12" s="12">
        <f>'Actual Values'!$D$17*'NOLH Designs (2)'!R13</f>
        <v>17.099999999999998</v>
      </c>
      <c r="AC12" s="6">
        <v>0.73</v>
      </c>
      <c r="AD12" s="6">
        <v>0.32</v>
      </c>
      <c r="AE12" s="6">
        <v>0.36</v>
      </c>
      <c r="AF12" s="6">
        <v>0.82</v>
      </c>
      <c r="AG12" s="6">
        <v>0.18</v>
      </c>
      <c r="AH12" s="6">
        <v>0.28000000000000003</v>
      </c>
      <c r="AI12" s="6">
        <v>0.15</v>
      </c>
      <c r="AJ12" s="6">
        <v>0.28999999999999998</v>
      </c>
    </row>
    <row r="13" spans="1:36" x14ac:dyDescent="0.2">
      <c r="A13" s="8">
        <v>10</v>
      </c>
      <c r="B13" s="6">
        <f>'Actual Values'!$B$3*'NOLH Designs (2)'!B14</f>
        <v>7849497.5999999996</v>
      </c>
      <c r="C13" s="6">
        <f>'Actual Values'!$B$5*'NOLH Designs (2)'!B14</f>
        <v>6887059.2000000002</v>
      </c>
      <c r="D13" s="6">
        <f>'Actual Values'!$B$7*'NOLH Designs (2)'!B14</f>
        <v>3613794</v>
      </c>
      <c r="E13" s="6">
        <f>'Actual Values'!$B$9*'NOLH Designs (2)'!B14</f>
        <v>2699235.72</v>
      </c>
      <c r="F13" s="12">
        <f>'Actual Values'!$C$3*'NOLH Designs (2)'!C14</f>
        <v>48230.400000000045</v>
      </c>
      <c r="G13" s="12">
        <f>'Actual Values'!$C$3-'ExpValues Eq'!F13</f>
        <v>1157529.5999999999</v>
      </c>
      <c r="H13" s="12">
        <f>F13+'Actual Values'!$D$3</f>
        <v>271230.40000000002</v>
      </c>
      <c r="I13" s="12">
        <f>'Actual Values'!$C$5*'NOLH Designs (2)'!D14</f>
        <v>116371.2000000001</v>
      </c>
      <c r="J13" s="12">
        <f>'Actual Values'!$C$5-'ExpValues Eq'!I13</f>
        <v>941548.79999999993</v>
      </c>
      <c r="K13" s="12">
        <f>I13+'Actual Values'!$D$5</f>
        <v>374371.20000000007</v>
      </c>
      <c r="L13" s="12">
        <f>'Actual Values'!$C$7*'NOLH Designs (2)'!E14</f>
        <v>72164.819999999934</v>
      </c>
      <c r="M13" s="12">
        <f>'Actual Values'!$C$7-'ExpValues Eq'!L13</f>
        <v>482949.18000000005</v>
      </c>
      <c r="N13" s="12">
        <f>L13+'Actual Values'!$D$7</f>
        <v>245769.81999999995</v>
      </c>
      <c r="O13" s="12">
        <f>'Actual Values'!$C$9*'NOLH Designs (2)'!F14</f>
        <v>24877.740000000023</v>
      </c>
      <c r="P13" s="12">
        <f>'Actual Values'!$C$9-'ExpValues Eq'!O13</f>
        <v>389751.25999999995</v>
      </c>
      <c r="Q13" s="12">
        <f>O13+'Actual Values'!$D$9</f>
        <v>73852.74000000002</v>
      </c>
      <c r="R13" s="12">
        <f>'Actual Values'!$A$21*'NOLH Designs (2)'!S14</f>
        <v>93.94</v>
      </c>
      <c r="S13" s="12">
        <f>'Actual Values'!$B$21*'NOLH Designs (2)'!S14</f>
        <v>160.93</v>
      </c>
      <c r="T13" s="12">
        <f>'Actual Values'!$C$21*'NOLH Designs (2)'!S14</f>
        <v>94.710000000000008</v>
      </c>
      <c r="U13" s="12">
        <f>'Actual Values'!$A$25*'NOLH Designs (2)'!T14</f>
        <v>30.749999999999996</v>
      </c>
      <c r="V13" s="12">
        <f>'Actual Values'!$B$25*'NOLH Designs (2)'!T14</f>
        <v>50.019999999999996</v>
      </c>
      <c r="W13" s="12">
        <f>'Actual Values'!$A$13*'NOLH Designs (2)'!G14</f>
        <v>20.400000000000002</v>
      </c>
      <c r="X13" s="12">
        <f>'Actual Values'!$B$13*'NOLH Designs (2)'!H14</f>
        <v>45.6</v>
      </c>
      <c r="Y13" s="12">
        <f>'Actual Values'!$A$17*'NOLH Designs (2)'!Q14</f>
        <v>3.92</v>
      </c>
      <c r="Z13" s="12">
        <f>'Actual Values'!$B$17*'NOLH Designs (2)'!R14</f>
        <v>36.630000000000003</v>
      </c>
      <c r="AA13" s="12">
        <f>'Actual Values'!$C$17*'NOLH Designs (2)'!Q14</f>
        <v>1.96</v>
      </c>
      <c r="AB13" s="12">
        <f>'Actual Values'!$D$17*'NOLH Designs (2)'!R14</f>
        <v>16.650000000000002</v>
      </c>
      <c r="AC13" s="6">
        <v>0.76</v>
      </c>
      <c r="AD13" s="6">
        <v>0.16</v>
      </c>
      <c r="AE13" s="6">
        <v>0.14000000000000001</v>
      </c>
      <c r="AF13" s="6">
        <v>0.75</v>
      </c>
      <c r="AG13" s="6">
        <v>0.14000000000000001</v>
      </c>
      <c r="AH13" s="6">
        <v>0.31</v>
      </c>
      <c r="AI13" s="6">
        <v>0.12</v>
      </c>
      <c r="AJ13" s="6">
        <v>0.28000000000000003</v>
      </c>
    </row>
    <row r="14" spans="1:36" x14ac:dyDescent="0.2">
      <c r="A14" s="8">
        <v>11</v>
      </c>
      <c r="B14" s="6">
        <f>'Actual Values'!$B$3*'NOLH Designs (2)'!B15</f>
        <v>4874284.8</v>
      </c>
      <c r="C14" s="6">
        <f>'Actual Values'!$B$5*'NOLH Designs (2)'!B15</f>
        <v>4276641.6000000006</v>
      </c>
      <c r="D14" s="6">
        <f>'Actual Values'!$B$7*'NOLH Designs (2)'!B15</f>
        <v>2244049.5</v>
      </c>
      <c r="E14" s="6">
        <f>'Actual Values'!$B$9*'NOLH Designs (2)'!B15</f>
        <v>1676138.31</v>
      </c>
      <c r="F14" s="12">
        <f>'Actual Values'!$C$3*'NOLH Designs (2)'!C15</f>
        <v>590822.40000000002</v>
      </c>
      <c r="G14" s="12">
        <f>'Actual Values'!$C$3-'ExpValues Eq'!F14</f>
        <v>614937.59999999998</v>
      </c>
      <c r="H14" s="12">
        <f>F14+'Actual Values'!$D$3</f>
        <v>813822.4</v>
      </c>
      <c r="I14" s="12">
        <f>'Actual Values'!$C$5*'NOLH Designs (2)'!D15</f>
        <v>253900.79999999999</v>
      </c>
      <c r="J14" s="12">
        <f>'Actual Values'!$C$5-'ExpValues Eq'!I14</f>
        <v>804019.19999999995</v>
      </c>
      <c r="K14" s="12">
        <f>I14+'Actual Values'!$D$5</f>
        <v>511900.8</v>
      </c>
      <c r="L14" s="12">
        <f>'Actual Values'!$C$7*'NOLH Designs (2)'!E15</f>
        <v>77715.959999999948</v>
      </c>
      <c r="M14" s="12">
        <f>'Actual Values'!$C$7-'ExpValues Eq'!L14</f>
        <v>477398.04000000004</v>
      </c>
      <c r="N14" s="12">
        <f>L14+'Actual Values'!$D$7</f>
        <v>251320.95999999996</v>
      </c>
      <c r="O14" s="12">
        <f>'Actual Values'!$C$9*'NOLH Designs (2)'!F15</f>
        <v>66340.63999999997</v>
      </c>
      <c r="P14" s="12">
        <f>'Actual Values'!$C$9-'ExpValues Eq'!O14</f>
        <v>348288.36000000004</v>
      </c>
      <c r="Q14" s="12">
        <f>O14+'Actual Values'!$D$9</f>
        <v>115315.63999999997</v>
      </c>
      <c r="R14" s="12">
        <f>'Actual Values'!$A$21*'NOLH Designs (2)'!S15</f>
        <v>50.019999999999996</v>
      </c>
      <c r="S14" s="12">
        <f>'Actual Values'!$B$21*'NOLH Designs (2)'!S15</f>
        <v>85.69</v>
      </c>
      <c r="T14" s="12">
        <f>'Actual Values'!$C$21*'NOLH Designs (2)'!S15</f>
        <v>50.43</v>
      </c>
      <c r="U14" s="12">
        <f>'Actual Values'!$A$25*'NOLH Designs (2)'!T15</f>
        <v>35.25</v>
      </c>
      <c r="V14" s="12">
        <f>'Actual Values'!$B$25*'NOLH Designs (2)'!T15</f>
        <v>57.339999999999996</v>
      </c>
      <c r="W14" s="12">
        <f>'Actual Values'!$A$13*'NOLH Designs (2)'!G15</f>
        <v>19.8</v>
      </c>
      <c r="X14" s="12">
        <f>'Actual Values'!$B$13*'NOLH Designs (2)'!H15</f>
        <v>73.2</v>
      </c>
      <c r="Y14" s="12">
        <f>'Actual Values'!$A$17*'NOLH Designs (2)'!Q15</f>
        <v>4.88</v>
      </c>
      <c r="Z14" s="12">
        <f>'Actual Values'!$B$17*'NOLH Designs (2)'!R15</f>
        <v>36.630000000000003</v>
      </c>
      <c r="AA14" s="12">
        <f>'Actual Values'!$C$17*'NOLH Designs (2)'!Q15</f>
        <v>2.44</v>
      </c>
      <c r="AB14" s="12">
        <f>'Actual Values'!$D$17*'NOLH Designs (2)'!R15</f>
        <v>16.650000000000002</v>
      </c>
      <c r="AC14" s="6">
        <v>0.67</v>
      </c>
      <c r="AD14" s="6">
        <v>0.28999999999999998</v>
      </c>
      <c r="AE14" s="6">
        <v>0.35</v>
      </c>
      <c r="AF14" s="6">
        <v>0.65</v>
      </c>
      <c r="AG14" s="6">
        <v>0.26</v>
      </c>
      <c r="AH14" s="6">
        <v>0.18</v>
      </c>
      <c r="AI14" s="6">
        <v>0.15</v>
      </c>
      <c r="AJ14" s="6">
        <v>0.25</v>
      </c>
    </row>
    <row r="15" spans="1:36" x14ac:dyDescent="0.2">
      <c r="A15" s="8">
        <v>12</v>
      </c>
      <c r="B15" s="6">
        <f>'Actual Values'!$B$3*'NOLH Designs (2)'!B16</f>
        <v>7659590.3999999994</v>
      </c>
      <c r="C15" s="6">
        <f>'Actual Values'!$B$5*'NOLH Designs (2)'!B16</f>
        <v>6720436.7999999998</v>
      </c>
      <c r="D15" s="6">
        <f>'Actual Values'!$B$7*'NOLH Designs (2)'!B16</f>
        <v>3526363.5</v>
      </c>
      <c r="E15" s="6">
        <f>'Actual Values'!$B$9*'NOLH Designs (2)'!B16</f>
        <v>2633931.63</v>
      </c>
      <c r="F15" s="12">
        <f>'Actual Values'!$C$3*'NOLH Designs (2)'!C16</f>
        <v>590822.40000000002</v>
      </c>
      <c r="G15" s="12">
        <f>'Actual Values'!$C$3-'ExpValues Eq'!F15</f>
        <v>614937.59999999998</v>
      </c>
      <c r="H15" s="12">
        <f>F15+'Actual Values'!$D$3</f>
        <v>813822.4</v>
      </c>
      <c r="I15" s="12">
        <f>'Actual Values'!$C$5*'NOLH Designs (2)'!D16</f>
        <v>137529.59999999989</v>
      </c>
      <c r="J15" s="12">
        <f>'Actual Values'!$C$5-'ExpValues Eq'!I15</f>
        <v>920390.40000000014</v>
      </c>
      <c r="K15" s="12">
        <f>I15+'Actual Values'!$D$5</f>
        <v>395529.59999999986</v>
      </c>
      <c r="L15" s="12">
        <f>'Actual Values'!$C$7*'NOLH Designs (2)'!E16</f>
        <v>105471.65999999997</v>
      </c>
      <c r="M15" s="12">
        <f>'Actual Values'!$C$7-'ExpValues Eq'!L15</f>
        <v>449642.34</v>
      </c>
      <c r="N15" s="12">
        <f>L15+'Actual Values'!$D$7</f>
        <v>279076.65999999997</v>
      </c>
      <c r="O15" s="12">
        <f>'Actual Values'!$C$9*'NOLH Designs (2)'!F16</f>
        <v>29024.030000000024</v>
      </c>
      <c r="P15" s="12">
        <f>'Actual Values'!$C$9-'ExpValues Eq'!O15</f>
        <v>385604.97</v>
      </c>
      <c r="Q15" s="12">
        <f>O15+'Actual Values'!$D$9</f>
        <v>77999.030000000028</v>
      </c>
      <c r="R15" s="12">
        <f>'Actual Values'!$A$21*'NOLH Designs (2)'!S16</f>
        <v>48.800000000000004</v>
      </c>
      <c r="S15" s="12">
        <f>'Actual Values'!$B$21*'NOLH Designs (2)'!S16</f>
        <v>83.600000000000009</v>
      </c>
      <c r="T15" s="12">
        <f>'Actual Values'!$C$21*'NOLH Designs (2)'!S16</f>
        <v>49.2</v>
      </c>
      <c r="U15" s="12">
        <f>'Actual Values'!$A$25*'NOLH Designs (2)'!T16</f>
        <v>30</v>
      </c>
      <c r="V15" s="12">
        <f>'Actual Values'!$B$25*'NOLH Designs (2)'!T16</f>
        <v>48.800000000000004</v>
      </c>
      <c r="W15" s="12">
        <f>'Actual Values'!$A$13*'NOLH Designs (2)'!G16</f>
        <v>42</v>
      </c>
      <c r="X15" s="12">
        <f>'Actual Values'!$B$13*'NOLH Designs (2)'!H16</f>
        <v>60.6</v>
      </c>
      <c r="Y15" s="12">
        <f>'Actual Values'!$A$17*'NOLH Designs (2)'!Q16</f>
        <v>4.08</v>
      </c>
      <c r="Z15" s="12">
        <f>'Actual Values'!$B$17*'NOLH Designs (2)'!R16</f>
        <v>34.32</v>
      </c>
      <c r="AA15" s="12">
        <f>'Actual Values'!$C$17*'NOLH Designs (2)'!Q16</f>
        <v>2.04</v>
      </c>
      <c r="AB15" s="12">
        <f>'Actual Values'!$D$17*'NOLH Designs (2)'!R16</f>
        <v>15.600000000000001</v>
      </c>
      <c r="AC15" s="6">
        <v>0.87</v>
      </c>
      <c r="AD15" s="6">
        <v>0.18</v>
      </c>
      <c r="AE15" s="6">
        <v>0.19</v>
      </c>
      <c r="AF15" s="6">
        <v>0.67</v>
      </c>
      <c r="AG15" s="6">
        <v>0.3</v>
      </c>
      <c r="AH15" s="6">
        <v>0.18</v>
      </c>
      <c r="AI15" s="6">
        <v>0.19</v>
      </c>
      <c r="AJ15" s="6">
        <v>0.27</v>
      </c>
    </row>
    <row r="16" spans="1:36" x14ac:dyDescent="0.2">
      <c r="A16" s="8">
        <v>13</v>
      </c>
      <c r="B16" s="6">
        <f>'Actual Values'!$B$3*'NOLH Designs (2)'!B17</f>
        <v>6266937.5999999996</v>
      </c>
      <c r="C16" s="6">
        <f>'Actual Values'!$B$5*'NOLH Designs (2)'!B17</f>
        <v>5498539.2000000002</v>
      </c>
      <c r="D16" s="6">
        <f>'Actual Values'!$B$7*'NOLH Designs (2)'!B17</f>
        <v>2885206.5</v>
      </c>
      <c r="E16" s="6">
        <f>'Actual Values'!$B$9*'NOLH Designs (2)'!B17</f>
        <v>2155034.9700000002</v>
      </c>
      <c r="F16" s="12">
        <f>'Actual Values'!$C$3*'NOLH Designs (2)'!C17</f>
        <v>156748.79999999987</v>
      </c>
      <c r="G16" s="12">
        <f>'Actual Values'!$C$3-'ExpValues Eq'!F16</f>
        <v>1049011.2000000002</v>
      </c>
      <c r="H16" s="12">
        <f>F16+'Actual Values'!$D$3</f>
        <v>379748.79999999987</v>
      </c>
      <c r="I16" s="12">
        <f>'Actual Values'!$C$5*'NOLH Designs (2)'!D17</f>
        <v>507801.59999999998</v>
      </c>
      <c r="J16" s="12">
        <f>'Actual Values'!$C$5-'ExpValues Eq'!I16</f>
        <v>550118.40000000002</v>
      </c>
      <c r="K16" s="12">
        <f>I16+'Actual Values'!$D$5</f>
        <v>765801.6</v>
      </c>
      <c r="L16" s="12">
        <f>'Actual Values'!$C$7*'NOLH Designs (2)'!E17</f>
        <v>49960.260000000046</v>
      </c>
      <c r="M16" s="12">
        <f>'Actual Values'!$C$7-'ExpValues Eq'!L16</f>
        <v>505153.73999999993</v>
      </c>
      <c r="N16" s="12">
        <f>L16+'Actual Values'!$D$7</f>
        <v>223565.26000000004</v>
      </c>
      <c r="O16" s="12">
        <f>'Actual Values'!$C$9*'NOLH Designs (2)'!F17</f>
        <v>82925.799999999988</v>
      </c>
      <c r="P16" s="12">
        <f>'Actual Values'!$C$9-'ExpValues Eq'!O16</f>
        <v>331703.2</v>
      </c>
      <c r="Q16" s="12">
        <f>O16+'Actual Values'!$D$9</f>
        <v>131900.79999999999</v>
      </c>
      <c r="R16" s="12">
        <f>'Actual Values'!$A$21*'NOLH Designs (2)'!S17</f>
        <v>106.14</v>
      </c>
      <c r="S16" s="12">
        <f>'Actual Values'!$B$21*'NOLH Designs (2)'!S17</f>
        <v>181.83</v>
      </c>
      <c r="T16" s="12">
        <f>'Actual Values'!$C$21*'NOLH Designs (2)'!S17</f>
        <v>107.01</v>
      </c>
      <c r="U16" s="12">
        <f>'Actual Values'!$A$25*'NOLH Designs (2)'!T17</f>
        <v>45</v>
      </c>
      <c r="V16" s="12">
        <f>'Actual Values'!$B$25*'NOLH Designs (2)'!T17</f>
        <v>73.2</v>
      </c>
      <c r="W16" s="12">
        <f>'Actual Values'!$A$13*'NOLH Designs (2)'!G17</f>
        <v>35.4</v>
      </c>
      <c r="X16" s="12">
        <f>'Actual Values'!$B$13*'NOLH Designs (2)'!H17</f>
        <v>38.4</v>
      </c>
      <c r="Y16" s="12">
        <f>'Actual Values'!$A$17*'NOLH Designs (2)'!Q17</f>
        <v>3.2</v>
      </c>
      <c r="Z16" s="12">
        <f>'Actual Values'!$B$17*'NOLH Designs (2)'!R17</f>
        <v>37.29</v>
      </c>
      <c r="AA16" s="12">
        <f>'Actual Values'!$C$17*'NOLH Designs (2)'!Q17</f>
        <v>1.6</v>
      </c>
      <c r="AB16" s="12">
        <f>'Actual Values'!$D$17*'NOLH Designs (2)'!R17</f>
        <v>16.95</v>
      </c>
      <c r="AC16" s="6">
        <v>0.71</v>
      </c>
      <c r="AD16" s="6">
        <v>0.3</v>
      </c>
      <c r="AE16" s="6">
        <v>0.37</v>
      </c>
      <c r="AF16" s="6">
        <v>0.6</v>
      </c>
      <c r="AG16" s="6">
        <v>0.16</v>
      </c>
      <c r="AH16" s="6">
        <v>0.37</v>
      </c>
      <c r="AI16" s="6">
        <v>0.25</v>
      </c>
      <c r="AJ16" s="6">
        <v>0.16</v>
      </c>
    </row>
    <row r="17" spans="1:36" x14ac:dyDescent="0.2">
      <c r="A17" s="8">
        <v>14</v>
      </c>
      <c r="B17" s="6">
        <f>'Actual Values'!$B$3*'NOLH Designs (2)'!B18</f>
        <v>7153171.1999999993</v>
      </c>
      <c r="C17" s="6">
        <f>'Actual Values'!$B$5*'NOLH Designs (2)'!B18</f>
        <v>6276110.3999999994</v>
      </c>
      <c r="D17" s="6">
        <f>'Actual Values'!$B$7*'NOLH Designs (2)'!B18</f>
        <v>3293215.4999999995</v>
      </c>
      <c r="E17" s="6">
        <f>'Actual Values'!$B$9*'NOLH Designs (2)'!B18</f>
        <v>2459787.3899999997</v>
      </c>
      <c r="F17" s="12">
        <f>'Actual Values'!$C$3*'NOLH Designs (2)'!C18</f>
        <v>132633.60000000012</v>
      </c>
      <c r="G17" s="12">
        <f>'Actual Values'!$C$3-'ExpValues Eq'!F17</f>
        <v>1073126.3999999999</v>
      </c>
      <c r="H17" s="12">
        <f>F17+'Actual Values'!$D$3</f>
        <v>355633.60000000009</v>
      </c>
      <c r="I17" s="12">
        <f>'Actual Values'!$C$5*'NOLH Designs (2)'!D18</f>
        <v>486643.19999999995</v>
      </c>
      <c r="J17" s="12">
        <f>'Actual Values'!$C$5-'ExpValues Eq'!I17</f>
        <v>571276.80000000005</v>
      </c>
      <c r="K17" s="12">
        <f>I17+'Actual Values'!$D$5</f>
        <v>744643.2</v>
      </c>
      <c r="L17" s="12">
        <f>'Actual Values'!$C$7*'NOLH Designs (2)'!E18</f>
        <v>99920.51999999996</v>
      </c>
      <c r="M17" s="12">
        <f>'Actual Values'!$C$7-'ExpValues Eq'!L17</f>
        <v>455193.48000000004</v>
      </c>
      <c r="N17" s="12">
        <f>L17+'Actual Values'!$D$7</f>
        <v>273525.51999999996</v>
      </c>
      <c r="O17" s="12">
        <f>'Actual Values'!$C$9*'NOLH Designs (2)'!F18</f>
        <v>16585.160000000014</v>
      </c>
      <c r="P17" s="12">
        <f>'Actual Values'!$C$9-'ExpValues Eq'!O17</f>
        <v>398043.83999999997</v>
      </c>
      <c r="Q17" s="12">
        <f>O17+'Actual Values'!$D$9</f>
        <v>65560.160000000018</v>
      </c>
      <c r="R17" s="12">
        <f>'Actual Values'!$A$21*'NOLH Designs (2)'!S18</f>
        <v>74.42</v>
      </c>
      <c r="S17" s="12">
        <f>'Actual Values'!$B$21*'NOLH Designs (2)'!S18</f>
        <v>127.49</v>
      </c>
      <c r="T17" s="12">
        <f>'Actual Values'!$C$21*'NOLH Designs (2)'!S18</f>
        <v>75.03</v>
      </c>
      <c r="U17" s="12">
        <f>'Actual Values'!$A$25*'NOLH Designs (2)'!T18</f>
        <v>46.5</v>
      </c>
      <c r="V17" s="12">
        <f>'Actual Values'!$B$25*'NOLH Designs (2)'!T18</f>
        <v>75.64</v>
      </c>
      <c r="W17" s="12">
        <f>'Actual Values'!$A$13*'NOLH Designs (2)'!G18</f>
        <v>23.700000000000003</v>
      </c>
      <c r="X17" s="12">
        <f>'Actual Values'!$B$13*'NOLH Designs (2)'!H18</f>
        <v>79.800000000000011</v>
      </c>
      <c r="Y17" s="12">
        <f>'Actual Values'!$A$17*'NOLH Designs (2)'!Q18</f>
        <v>3.44</v>
      </c>
      <c r="Z17" s="12">
        <f>'Actual Values'!$B$17*'NOLH Designs (2)'!R18</f>
        <v>35.970000000000006</v>
      </c>
      <c r="AA17" s="12">
        <f>'Actual Values'!$C$17*'NOLH Designs (2)'!Q18</f>
        <v>1.72</v>
      </c>
      <c r="AB17" s="12">
        <f>'Actual Values'!$D$17*'NOLH Designs (2)'!R18</f>
        <v>16.350000000000001</v>
      </c>
      <c r="AC17" s="6">
        <v>0.76</v>
      </c>
      <c r="AD17" s="6">
        <v>0.16</v>
      </c>
      <c r="AE17" s="6">
        <v>0.22</v>
      </c>
      <c r="AF17" s="6">
        <v>0.6</v>
      </c>
      <c r="AG17" s="6">
        <v>0.2</v>
      </c>
      <c r="AH17" s="6">
        <v>0.35</v>
      </c>
      <c r="AI17" s="6">
        <v>0.28999999999999998</v>
      </c>
      <c r="AJ17" s="6">
        <v>0.17</v>
      </c>
    </row>
    <row r="18" spans="1:36" x14ac:dyDescent="0.2">
      <c r="A18" s="8">
        <v>15</v>
      </c>
      <c r="B18" s="6">
        <f>'Actual Values'!$B$3*'NOLH Designs (2)'!B19</f>
        <v>5570611.2000000002</v>
      </c>
      <c r="C18" s="6">
        <f>'Actual Values'!$B$5*'NOLH Designs (2)'!B19</f>
        <v>4887590.4000000004</v>
      </c>
      <c r="D18" s="6">
        <f>'Actual Values'!$B$7*'NOLH Designs (2)'!B19</f>
        <v>2564628</v>
      </c>
      <c r="E18" s="6">
        <f>'Actual Values'!$B$9*'NOLH Designs (2)'!B19</f>
        <v>1915586.64</v>
      </c>
      <c r="F18" s="12">
        <f>'Actual Values'!$C$3*'NOLH Designs (2)'!C19</f>
        <v>313497.60000000003</v>
      </c>
      <c r="G18" s="12">
        <f>'Actual Values'!$C$3-'ExpValues Eq'!F18</f>
        <v>892262.39999999991</v>
      </c>
      <c r="H18" s="12">
        <f>F18+'Actual Values'!$D$3</f>
        <v>536497.60000000009</v>
      </c>
      <c r="I18" s="12">
        <f>'Actual Values'!$C$5*'NOLH Designs (2)'!D19</f>
        <v>518380.79999999999</v>
      </c>
      <c r="J18" s="12">
        <f>'Actual Values'!$C$5-'ExpValues Eq'!I18</f>
        <v>539539.19999999995</v>
      </c>
      <c r="K18" s="12">
        <f>I18+'Actual Values'!$D$5</f>
        <v>776380.8</v>
      </c>
      <c r="L18" s="12">
        <f>'Actual Values'!$C$7*'NOLH Designs (2)'!E19</f>
        <v>61062.540000000052</v>
      </c>
      <c r="M18" s="12">
        <f>'Actual Values'!$C$7-'ExpValues Eq'!L18</f>
        <v>494051.45999999996</v>
      </c>
      <c r="N18" s="12">
        <f>L18+'Actual Values'!$D$7</f>
        <v>234667.54000000004</v>
      </c>
      <c r="O18" s="12">
        <f>'Actual Values'!$C$9*'NOLH Designs (2)'!F19</f>
        <v>95364.67</v>
      </c>
      <c r="P18" s="12">
        <f>'Actual Values'!$C$9-'ExpValues Eq'!O18</f>
        <v>319264.33</v>
      </c>
      <c r="Q18" s="12">
        <f>O18+'Actual Values'!$D$9</f>
        <v>144339.66999999998</v>
      </c>
      <c r="R18" s="12">
        <f>'Actual Values'!$A$21*'NOLH Designs (2)'!S19</f>
        <v>40.260000000000005</v>
      </c>
      <c r="S18" s="12">
        <f>'Actual Values'!$B$21*'NOLH Designs (2)'!S19</f>
        <v>68.97</v>
      </c>
      <c r="T18" s="12">
        <f>'Actual Values'!$C$21*'NOLH Designs (2)'!S19</f>
        <v>40.590000000000003</v>
      </c>
      <c r="U18" s="12">
        <f>'Actual Values'!$A$25*'NOLH Designs (2)'!T19</f>
        <v>27</v>
      </c>
      <c r="V18" s="12">
        <f>'Actual Values'!$B$25*'NOLH Designs (2)'!T19</f>
        <v>43.92</v>
      </c>
      <c r="W18" s="12">
        <f>'Actual Values'!$A$13*'NOLH Designs (2)'!G19</f>
        <v>23.1</v>
      </c>
      <c r="X18" s="12">
        <f>'Actual Values'!$B$13*'NOLH Designs (2)'!H19</f>
        <v>37.799999999999997</v>
      </c>
      <c r="Y18" s="12">
        <f>'Actual Values'!$A$17*'NOLH Designs (2)'!Q19</f>
        <v>3.16</v>
      </c>
      <c r="Z18" s="12">
        <f>'Actual Values'!$B$17*'NOLH Designs (2)'!R19</f>
        <v>34.980000000000004</v>
      </c>
      <c r="AA18" s="12">
        <f>'Actual Values'!$C$17*'NOLH Designs (2)'!Q19</f>
        <v>1.58</v>
      </c>
      <c r="AB18" s="12">
        <f>'Actual Values'!$D$17*'NOLH Designs (2)'!R19</f>
        <v>15.9</v>
      </c>
      <c r="AC18" s="6">
        <v>0.64</v>
      </c>
      <c r="AD18" s="6">
        <v>0.4</v>
      </c>
      <c r="AE18" s="6">
        <v>0.34</v>
      </c>
      <c r="AF18" s="6">
        <v>0.85</v>
      </c>
      <c r="AG18" s="6">
        <v>0.33</v>
      </c>
      <c r="AH18" s="6">
        <v>0.17</v>
      </c>
      <c r="AI18" s="6">
        <v>0.2</v>
      </c>
      <c r="AJ18" s="6">
        <v>0.16</v>
      </c>
    </row>
    <row r="19" spans="1:36" x14ac:dyDescent="0.2">
      <c r="A19" s="8">
        <v>16</v>
      </c>
      <c r="B19" s="6">
        <f>'Actual Values'!$B$3*'NOLH Designs (2)'!B20</f>
        <v>7216473.5999999996</v>
      </c>
      <c r="C19" s="6">
        <f>'Actual Values'!$B$5*'NOLH Designs (2)'!B20</f>
        <v>6331651.1999999993</v>
      </c>
      <c r="D19" s="6">
        <f>'Actual Values'!$B$7*'NOLH Designs (2)'!B20</f>
        <v>3322358.9999999995</v>
      </c>
      <c r="E19" s="6">
        <f>'Actual Values'!$B$9*'NOLH Designs (2)'!B20</f>
        <v>2481555.42</v>
      </c>
      <c r="F19" s="12">
        <f>'Actual Values'!$C$3*'NOLH Designs (2)'!C20</f>
        <v>458188.79999999987</v>
      </c>
      <c r="G19" s="12">
        <f>'Actual Values'!$C$3-'ExpValues Eq'!F19</f>
        <v>747571.20000000019</v>
      </c>
      <c r="H19" s="12">
        <f>F19+'Actual Values'!$D$3</f>
        <v>681188.79999999981</v>
      </c>
      <c r="I19" s="12">
        <f>'Actual Values'!$C$5*'NOLH Designs (2)'!D20</f>
        <v>518380.79999999999</v>
      </c>
      <c r="J19" s="12">
        <f>'Actual Values'!$C$5-'ExpValues Eq'!I19</f>
        <v>539539.19999999995</v>
      </c>
      <c r="K19" s="12">
        <f>I19+'Actual Values'!$D$5</f>
        <v>776380.8</v>
      </c>
      <c r="L19" s="12">
        <f>'Actual Values'!$C$7*'NOLH Designs (2)'!E20</f>
        <v>11102.28000000001</v>
      </c>
      <c r="M19" s="12">
        <f>'Actual Values'!$C$7-'ExpValues Eq'!L19</f>
        <v>544011.72</v>
      </c>
      <c r="N19" s="12">
        <f>L19+'Actual Values'!$D$7</f>
        <v>184707.28</v>
      </c>
      <c r="O19" s="12">
        <f>'Actual Values'!$C$9*'NOLH Designs (2)'!F20</f>
        <v>37316.61000000003</v>
      </c>
      <c r="P19" s="12">
        <f>'Actual Values'!$C$9-'ExpValues Eq'!O19</f>
        <v>377312.38999999996</v>
      </c>
      <c r="Q19" s="12">
        <f>O19+'Actual Values'!$D$9</f>
        <v>86291.61000000003</v>
      </c>
      <c r="R19" s="12">
        <f>'Actual Values'!$A$21*'NOLH Designs (2)'!S20</f>
        <v>64.66</v>
      </c>
      <c r="S19" s="12">
        <f>'Actual Values'!$B$21*'NOLH Designs (2)'!S20</f>
        <v>110.77000000000001</v>
      </c>
      <c r="T19" s="12">
        <f>'Actual Values'!$C$21*'NOLH Designs (2)'!S20</f>
        <v>65.19</v>
      </c>
      <c r="U19" s="12">
        <f>'Actual Values'!$A$25*'NOLH Designs (2)'!T20</f>
        <v>51.000000000000007</v>
      </c>
      <c r="V19" s="12">
        <f>'Actual Values'!$B$25*'NOLH Designs (2)'!T20</f>
        <v>82.960000000000008</v>
      </c>
      <c r="W19" s="12">
        <f>'Actual Values'!$A$13*'NOLH Designs (2)'!G20</f>
        <v>30.3</v>
      </c>
      <c r="X19" s="12">
        <f>'Actual Values'!$B$13*'NOLH Designs (2)'!H20</f>
        <v>82.8</v>
      </c>
      <c r="Y19" s="12">
        <f>'Actual Values'!$A$17*'NOLH Designs (2)'!Q20</f>
        <v>3.16</v>
      </c>
      <c r="Z19" s="12">
        <f>'Actual Values'!$B$17*'NOLH Designs (2)'!R20</f>
        <v>40.92</v>
      </c>
      <c r="AA19" s="12">
        <f>'Actual Values'!$C$17*'NOLH Designs (2)'!Q20</f>
        <v>1.58</v>
      </c>
      <c r="AB19" s="12">
        <f>'Actual Values'!$D$17*'NOLH Designs (2)'!R20</f>
        <v>18.600000000000001</v>
      </c>
      <c r="AC19" s="6">
        <v>0.82</v>
      </c>
      <c r="AD19" s="6">
        <v>0.17</v>
      </c>
      <c r="AE19" s="6">
        <v>0.23</v>
      </c>
      <c r="AF19" s="6">
        <v>0.89</v>
      </c>
      <c r="AG19" s="6">
        <v>0.28999999999999998</v>
      </c>
      <c r="AH19" s="6">
        <v>0.2</v>
      </c>
      <c r="AI19" s="6">
        <v>0.22</v>
      </c>
      <c r="AJ19" s="6">
        <v>0.15</v>
      </c>
    </row>
    <row r="20" spans="1:36" x14ac:dyDescent="0.2">
      <c r="A20" s="8">
        <v>17</v>
      </c>
      <c r="B20" s="6">
        <f>'Actual Values'!$B$3*'NOLH Designs (2)'!B21</f>
        <v>5444006.4000000004</v>
      </c>
      <c r="C20" s="6">
        <f>'Actual Values'!$B$5*'NOLH Designs (2)'!B21</f>
        <v>4776508.8</v>
      </c>
      <c r="D20" s="6">
        <f>'Actual Values'!$B$7*'NOLH Designs (2)'!B21</f>
        <v>2506341</v>
      </c>
      <c r="E20" s="6">
        <f>'Actual Values'!$B$9*'NOLH Designs (2)'!B21</f>
        <v>1872050.58</v>
      </c>
      <c r="F20" s="12">
        <f>'Actual Values'!$C$3*'NOLH Designs (2)'!C21</f>
        <v>108518.4000000001</v>
      </c>
      <c r="G20" s="12">
        <f>'Actual Values'!$C$3-'ExpValues Eq'!F20</f>
        <v>1097241.5999999999</v>
      </c>
      <c r="H20" s="12">
        <f>F20+'Actual Values'!$D$3</f>
        <v>331518.40000000008</v>
      </c>
      <c r="I20" s="12">
        <f>'Actual Values'!$C$5*'NOLH Designs (2)'!D21</f>
        <v>105792.00000000009</v>
      </c>
      <c r="J20" s="12">
        <f>'Actual Values'!$C$5-'ExpValues Eq'!I20</f>
        <v>952127.99999999988</v>
      </c>
      <c r="K20" s="12">
        <f>I20+'Actual Values'!$D$5</f>
        <v>363792.00000000012</v>
      </c>
      <c r="L20" s="12">
        <f>'Actual Values'!$C$7*'NOLH Designs (2)'!E21</f>
        <v>205392.18000000005</v>
      </c>
      <c r="M20" s="12">
        <f>'Actual Values'!$C$7-'ExpValues Eq'!L20</f>
        <v>349721.81999999995</v>
      </c>
      <c r="N20" s="12">
        <f>L20+'Actual Values'!$D$7</f>
        <v>378997.18000000005</v>
      </c>
      <c r="O20" s="12">
        <f>'Actual Values'!$C$9*'NOLH Designs (2)'!F21</f>
        <v>8292.5800000000072</v>
      </c>
      <c r="P20" s="12">
        <f>'Actual Values'!$C$9-'ExpValues Eq'!O20</f>
        <v>406336.42</v>
      </c>
      <c r="Q20" s="12">
        <f>O20+'Actual Values'!$D$9</f>
        <v>57267.580000000009</v>
      </c>
      <c r="R20" s="12">
        <f>'Actual Values'!$A$21*'NOLH Designs (2)'!S21</f>
        <v>112.24000000000001</v>
      </c>
      <c r="S20" s="12">
        <f>'Actual Values'!$B$21*'NOLH Designs (2)'!S21</f>
        <v>192.28</v>
      </c>
      <c r="T20" s="12">
        <f>'Actual Values'!$C$21*'NOLH Designs (2)'!S21</f>
        <v>113.16000000000001</v>
      </c>
      <c r="U20" s="12">
        <f>'Actual Values'!$A$25*'NOLH Designs (2)'!T21</f>
        <v>65.25</v>
      </c>
      <c r="V20" s="12">
        <f>'Actual Values'!$B$25*'NOLH Designs (2)'!T21</f>
        <v>106.14</v>
      </c>
      <c r="W20" s="12">
        <f>'Actual Values'!$A$13*'NOLH Designs (2)'!G21</f>
        <v>34.799999999999997</v>
      </c>
      <c r="X20" s="12">
        <f>'Actual Values'!$B$13*'NOLH Designs (2)'!H21</f>
        <v>69</v>
      </c>
      <c r="Y20" s="12">
        <f>'Actual Values'!$A$17*'NOLH Designs (2)'!Q21</f>
        <v>4.5599999999999996</v>
      </c>
      <c r="Z20" s="12">
        <f>'Actual Values'!$B$17*'NOLH Designs (2)'!R21</f>
        <v>26.07</v>
      </c>
      <c r="AA20" s="12">
        <f>'Actual Values'!$C$17*'NOLH Designs (2)'!Q21</f>
        <v>2.2799999999999998</v>
      </c>
      <c r="AB20" s="12">
        <f>'Actual Values'!$D$17*'NOLH Designs (2)'!R21</f>
        <v>11.850000000000001</v>
      </c>
      <c r="AC20" s="6">
        <v>0.75</v>
      </c>
      <c r="AD20" s="6">
        <v>0.16</v>
      </c>
      <c r="AE20" s="6">
        <v>0.28000000000000003</v>
      </c>
      <c r="AF20" s="6">
        <v>0.79</v>
      </c>
      <c r="AG20" s="6">
        <v>0.28000000000000003</v>
      </c>
      <c r="AH20" s="6">
        <v>0.16</v>
      </c>
      <c r="AI20" s="6">
        <v>0.3</v>
      </c>
      <c r="AJ20" s="6">
        <v>0.11</v>
      </c>
    </row>
    <row r="21" spans="1:36" x14ac:dyDescent="0.2">
      <c r="A21" s="8">
        <v>18</v>
      </c>
      <c r="B21" s="6">
        <f>'Actual Values'!$B$3*'NOLH Designs (2)'!B22</f>
        <v>7786195.2000000002</v>
      </c>
      <c r="C21" s="6">
        <f>'Actual Values'!$B$5*'NOLH Designs (2)'!B22</f>
        <v>6831518.3999999994</v>
      </c>
      <c r="D21" s="6">
        <f>'Actual Values'!$B$7*'NOLH Designs (2)'!B22</f>
        <v>3584650.5</v>
      </c>
      <c r="E21" s="6">
        <f>'Actual Values'!$B$9*'NOLH Designs (2)'!B22</f>
        <v>2677467.69</v>
      </c>
      <c r="F21" s="12">
        <f>'Actual Values'!$C$3*'NOLH Designs (2)'!C22</f>
        <v>217036.79999999993</v>
      </c>
      <c r="G21" s="12">
        <f>'Actual Values'!$C$3-'ExpValues Eq'!F21</f>
        <v>988723.20000000007</v>
      </c>
      <c r="H21" s="12">
        <f>F21+'Actual Values'!$D$3</f>
        <v>440036.79999999993</v>
      </c>
      <c r="I21" s="12">
        <f>'Actual Values'!$C$5*'NOLH Designs (2)'!D22</f>
        <v>137529.59999999989</v>
      </c>
      <c r="J21" s="12">
        <f>'Actual Values'!$C$5-'ExpValues Eq'!I21</f>
        <v>920390.40000000014</v>
      </c>
      <c r="K21" s="12">
        <f>I21+'Actual Values'!$D$5</f>
        <v>395529.59999999986</v>
      </c>
      <c r="L21" s="12">
        <f>'Actual Values'!$C$7*'NOLH Designs (2)'!E22</f>
        <v>216494.45999999993</v>
      </c>
      <c r="M21" s="12">
        <f>'Actual Values'!$C$7-'ExpValues Eq'!L21</f>
        <v>338619.54000000004</v>
      </c>
      <c r="N21" s="12">
        <f>L21+'Actual Values'!$D$7</f>
        <v>390099.45999999996</v>
      </c>
      <c r="O21" s="12">
        <f>'Actual Values'!$C$9*'NOLH Designs (2)'!F22</f>
        <v>87072.089999999982</v>
      </c>
      <c r="P21" s="12">
        <f>'Actual Values'!$C$9-'ExpValues Eq'!O21</f>
        <v>327556.91000000003</v>
      </c>
      <c r="Q21" s="12">
        <f>O21+'Actual Values'!$D$9</f>
        <v>136047.08999999997</v>
      </c>
      <c r="R21" s="12">
        <f>'Actual Values'!$A$21*'NOLH Designs (2)'!S22</f>
        <v>101.25999999999999</v>
      </c>
      <c r="S21" s="12">
        <f>'Actual Values'!$B$21*'NOLH Designs (2)'!S22</f>
        <v>173.47</v>
      </c>
      <c r="T21" s="12">
        <f>'Actual Values'!$C$21*'NOLH Designs (2)'!S22</f>
        <v>102.08999999999999</v>
      </c>
      <c r="U21" s="12">
        <f>'Actual Values'!$A$25*'NOLH Designs (2)'!T22</f>
        <v>72</v>
      </c>
      <c r="V21" s="12">
        <f>'Actual Values'!$B$25*'NOLH Designs (2)'!T22</f>
        <v>117.11999999999999</v>
      </c>
      <c r="W21" s="12">
        <f>'Actual Values'!$A$13*'NOLH Designs (2)'!G22</f>
        <v>22.8</v>
      </c>
      <c r="X21" s="12">
        <f>'Actual Values'!$B$13*'NOLH Designs (2)'!H22</f>
        <v>43.199999999999996</v>
      </c>
      <c r="Y21" s="12">
        <f>'Actual Values'!$A$17*'NOLH Designs (2)'!Q22</f>
        <v>4.3600000000000003</v>
      </c>
      <c r="Z21" s="12">
        <f>'Actual Values'!$B$17*'NOLH Designs (2)'!R22</f>
        <v>32.67</v>
      </c>
      <c r="AA21" s="12">
        <f>'Actual Values'!$C$17*'NOLH Designs (2)'!Q22</f>
        <v>2.1800000000000002</v>
      </c>
      <c r="AB21" s="12">
        <f>'Actual Values'!$D$17*'NOLH Designs (2)'!R22</f>
        <v>14.85</v>
      </c>
      <c r="AC21" s="6">
        <v>0.74</v>
      </c>
      <c r="AD21" s="6">
        <v>0.32</v>
      </c>
      <c r="AE21" s="6">
        <v>0.11</v>
      </c>
      <c r="AF21" s="6">
        <v>0.78</v>
      </c>
      <c r="AG21" s="6">
        <v>0.32</v>
      </c>
      <c r="AH21" s="6">
        <v>0.23</v>
      </c>
      <c r="AI21" s="6">
        <v>0.22</v>
      </c>
      <c r="AJ21" s="6">
        <v>0.12</v>
      </c>
    </row>
    <row r="22" spans="1:36" x14ac:dyDescent="0.2">
      <c r="A22" s="8">
        <v>19</v>
      </c>
      <c r="B22" s="6">
        <f>'Actual Values'!$B$3*'NOLH Designs (2)'!B23</f>
        <v>5317401.5999999996</v>
      </c>
      <c r="C22" s="6">
        <f>'Actual Values'!$B$5*'NOLH Designs (2)'!B23</f>
        <v>4665427.2</v>
      </c>
      <c r="D22" s="6">
        <f>'Actual Values'!$B$7*'NOLH Designs (2)'!B23</f>
        <v>2448054</v>
      </c>
      <c r="E22" s="6">
        <f>'Actual Values'!$B$9*'NOLH Designs (2)'!B23</f>
        <v>1828514.52</v>
      </c>
      <c r="F22" s="12">
        <f>'Actual Values'!$C$3*'NOLH Designs (2)'!C23</f>
        <v>470246.39999999991</v>
      </c>
      <c r="G22" s="12">
        <f>'Actual Values'!$C$3-'ExpValues Eq'!F22</f>
        <v>735513.60000000009</v>
      </c>
      <c r="H22" s="12">
        <f>F22+'Actual Values'!$D$3</f>
        <v>693246.39999999991</v>
      </c>
      <c r="I22" s="12">
        <f>'Actual Values'!$C$5*'NOLH Designs (2)'!D23</f>
        <v>148108.7999999999</v>
      </c>
      <c r="J22" s="12">
        <f>'Actual Values'!$C$5-'ExpValues Eq'!I22</f>
        <v>909811.20000000007</v>
      </c>
      <c r="K22" s="12">
        <f>I22+'Actual Values'!$D$5</f>
        <v>406108.79999999993</v>
      </c>
      <c r="L22" s="12">
        <f>'Actual Values'!$C$7*'NOLH Designs (2)'!E23</f>
        <v>144329.64000000001</v>
      </c>
      <c r="M22" s="12">
        <f>'Actual Values'!$C$7-'ExpValues Eq'!L22</f>
        <v>410784.36</v>
      </c>
      <c r="N22" s="12">
        <f>L22+'Actual Values'!$D$7</f>
        <v>317934.64</v>
      </c>
      <c r="O22" s="12">
        <f>'Actual Values'!$C$9*'NOLH Designs (2)'!F23</f>
        <v>45609.190000000039</v>
      </c>
      <c r="P22" s="12">
        <f>'Actual Values'!$C$9-'ExpValues Eq'!O22</f>
        <v>369019.80999999994</v>
      </c>
      <c r="Q22" s="12">
        <f>O22+'Actual Values'!$D$9</f>
        <v>94584.190000000031</v>
      </c>
      <c r="R22" s="12">
        <f>'Actual Values'!$A$21*'NOLH Designs (2)'!S23</f>
        <v>68.320000000000007</v>
      </c>
      <c r="S22" s="12">
        <f>'Actual Values'!$B$21*'NOLH Designs (2)'!S23</f>
        <v>117.04</v>
      </c>
      <c r="T22" s="12">
        <f>'Actual Values'!$C$21*'NOLH Designs (2)'!S23</f>
        <v>68.88000000000001</v>
      </c>
      <c r="U22" s="12">
        <f>'Actual Values'!$A$25*'NOLH Designs (2)'!T23</f>
        <v>40.5</v>
      </c>
      <c r="V22" s="12">
        <f>'Actual Values'!$B$25*'NOLH Designs (2)'!T23</f>
        <v>65.88000000000001</v>
      </c>
      <c r="W22" s="12">
        <f>'Actual Values'!$A$13*'NOLH Designs (2)'!G23</f>
        <v>18.899999999999999</v>
      </c>
      <c r="X22" s="12">
        <f>'Actual Values'!$B$13*'NOLH Designs (2)'!H23</f>
        <v>68.399999999999991</v>
      </c>
      <c r="Y22" s="12">
        <f>'Actual Values'!$A$17*'NOLH Designs (2)'!Q23</f>
        <v>4.3600000000000003</v>
      </c>
      <c r="Z22" s="12">
        <f>'Actual Values'!$B$17*'NOLH Designs (2)'!R23</f>
        <v>25.740000000000002</v>
      </c>
      <c r="AA22" s="12">
        <f>'Actual Values'!$C$17*'NOLH Designs (2)'!Q23</f>
        <v>2.1800000000000002</v>
      </c>
      <c r="AB22" s="12">
        <f>'Actual Values'!$D$17*'NOLH Designs (2)'!R23</f>
        <v>11.700000000000001</v>
      </c>
      <c r="AC22" s="6">
        <v>0.76</v>
      </c>
      <c r="AD22" s="6">
        <v>0.17</v>
      </c>
      <c r="AE22" s="6">
        <v>0.38</v>
      </c>
      <c r="AF22" s="6">
        <v>0.69</v>
      </c>
      <c r="AG22" s="6">
        <v>0.25</v>
      </c>
      <c r="AH22" s="6">
        <v>0.31</v>
      </c>
      <c r="AI22" s="6">
        <v>0.28999999999999998</v>
      </c>
      <c r="AJ22" s="6">
        <v>0.11</v>
      </c>
    </row>
    <row r="23" spans="1:36" x14ac:dyDescent="0.2">
      <c r="A23" s="8">
        <v>20</v>
      </c>
      <c r="B23" s="6">
        <f>'Actual Values'!$B$3*'NOLH Designs (2)'!B24</f>
        <v>6773356.8000000007</v>
      </c>
      <c r="C23" s="6">
        <f>'Actual Values'!$B$5*'NOLH Designs (2)'!B24</f>
        <v>5942865.6000000006</v>
      </c>
      <c r="D23" s="6">
        <f>'Actual Values'!$B$7*'NOLH Designs (2)'!B24</f>
        <v>3118354.5</v>
      </c>
      <c r="E23" s="6">
        <f>'Actual Values'!$B$9*'NOLH Designs (2)'!B24</f>
        <v>2329179.21</v>
      </c>
      <c r="F23" s="12">
        <f>'Actual Values'!$C$3*'NOLH Designs (2)'!C24</f>
        <v>578764.79999999993</v>
      </c>
      <c r="G23" s="12">
        <f>'Actual Values'!$C$3-'ExpValues Eq'!F23</f>
        <v>626995.20000000007</v>
      </c>
      <c r="H23" s="12">
        <f>F23+'Actual Values'!$D$3</f>
        <v>801764.79999999993</v>
      </c>
      <c r="I23" s="12">
        <f>'Actual Values'!$C$5*'NOLH Designs (2)'!D24</f>
        <v>201004.79999999993</v>
      </c>
      <c r="J23" s="12">
        <f>'Actual Values'!$C$5-'ExpValues Eq'!I23</f>
        <v>856915.20000000007</v>
      </c>
      <c r="K23" s="12">
        <f>I23+'Actual Values'!$D$5</f>
        <v>459004.79999999993</v>
      </c>
      <c r="L23" s="12">
        <f>'Actual Values'!$C$7*'NOLH Designs (2)'!E24</f>
        <v>210943.31999999995</v>
      </c>
      <c r="M23" s="12">
        <f>'Actual Values'!$C$7-'ExpValues Eq'!L23</f>
        <v>344170.68000000005</v>
      </c>
      <c r="N23" s="12">
        <f>L23+'Actual Values'!$D$7</f>
        <v>384548.31999999995</v>
      </c>
      <c r="O23" s="12">
        <f>'Actual Values'!$C$9*'NOLH Designs (2)'!F24</f>
        <v>24877.740000000023</v>
      </c>
      <c r="P23" s="12">
        <f>'Actual Values'!$C$9-'ExpValues Eq'!O23</f>
        <v>389751.25999999995</v>
      </c>
      <c r="Q23" s="12">
        <f>O23+'Actual Values'!$D$9</f>
        <v>73852.74000000002</v>
      </c>
      <c r="R23" s="12">
        <f>'Actual Values'!$A$21*'NOLH Designs (2)'!S24</f>
        <v>35.379999999999995</v>
      </c>
      <c r="S23" s="12">
        <f>'Actual Values'!$B$21*'NOLH Designs (2)'!S24</f>
        <v>60.609999999999992</v>
      </c>
      <c r="T23" s="12">
        <f>'Actual Values'!$C$21*'NOLH Designs (2)'!S24</f>
        <v>35.669999999999995</v>
      </c>
      <c r="U23" s="12">
        <f>'Actual Values'!$A$25*'NOLH Designs (2)'!T24</f>
        <v>48</v>
      </c>
      <c r="V23" s="12">
        <f>'Actual Values'!$B$25*'NOLH Designs (2)'!T24</f>
        <v>78.08</v>
      </c>
      <c r="W23" s="12">
        <f>'Actual Values'!$A$13*'NOLH Designs (2)'!G24</f>
        <v>37.200000000000003</v>
      </c>
      <c r="X23" s="12">
        <f>'Actual Values'!$B$13*'NOLH Designs (2)'!H24</f>
        <v>52.8</v>
      </c>
      <c r="Y23" s="12">
        <f>'Actual Values'!$A$17*'NOLH Designs (2)'!Q24</f>
        <v>4.2</v>
      </c>
      <c r="Z23" s="12">
        <f>'Actual Values'!$B$17*'NOLH Designs (2)'!R24</f>
        <v>30.69</v>
      </c>
      <c r="AA23" s="12">
        <f>'Actual Values'!$C$17*'NOLH Designs (2)'!Q24</f>
        <v>2.1</v>
      </c>
      <c r="AB23" s="12">
        <f>'Actual Values'!$D$17*'NOLH Designs (2)'!R24</f>
        <v>13.950000000000001</v>
      </c>
      <c r="AC23" s="6">
        <v>0.65</v>
      </c>
      <c r="AD23" s="6">
        <v>0.26</v>
      </c>
      <c r="AE23" s="6">
        <v>0.17</v>
      </c>
      <c r="AF23" s="6">
        <v>0.62</v>
      </c>
      <c r="AG23" s="6">
        <v>0.24</v>
      </c>
      <c r="AH23" s="6">
        <v>0.3</v>
      </c>
      <c r="AI23" s="6">
        <v>0.22</v>
      </c>
      <c r="AJ23" s="6">
        <v>0.1</v>
      </c>
    </row>
    <row r="24" spans="1:36" x14ac:dyDescent="0.2">
      <c r="A24" s="8">
        <v>21</v>
      </c>
      <c r="B24" s="6">
        <f>'Actual Values'!$B$3*'NOLH Designs (2)'!B25</f>
        <v>5633913.5999999996</v>
      </c>
      <c r="C24" s="6">
        <f>'Actual Values'!$B$5*'NOLH Designs (2)'!B25</f>
        <v>4943131.2</v>
      </c>
      <c r="D24" s="6">
        <f>'Actual Values'!$B$7*'NOLH Designs (2)'!B25</f>
        <v>2593771.5</v>
      </c>
      <c r="E24" s="6">
        <f>'Actual Values'!$B$9*'NOLH Designs (2)'!B25</f>
        <v>1937354.67</v>
      </c>
      <c r="F24" s="12">
        <f>'Actual Values'!$C$3*'NOLH Designs (2)'!C25</f>
        <v>120576.0000000001</v>
      </c>
      <c r="G24" s="12">
        <f>'Actual Values'!$C$3-'ExpValues Eq'!F24</f>
        <v>1085184</v>
      </c>
      <c r="H24" s="12">
        <f>F24+'Actual Values'!$D$3</f>
        <v>343576.00000000012</v>
      </c>
      <c r="I24" s="12">
        <f>'Actual Values'!$C$5*'NOLH Designs (2)'!D25</f>
        <v>433747.1999999999</v>
      </c>
      <c r="J24" s="12">
        <f>'Actual Values'!$C$5-'ExpValues Eq'!I24</f>
        <v>624172.80000000005</v>
      </c>
      <c r="K24" s="12">
        <f>I24+'Actual Values'!$D$5</f>
        <v>691747.2</v>
      </c>
      <c r="L24" s="12">
        <f>'Actual Values'!$C$7*'NOLH Designs (2)'!E25</f>
        <v>266454.71999999997</v>
      </c>
      <c r="M24" s="12">
        <f>'Actual Values'!$C$7-'ExpValues Eq'!L24</f>
        <v>288659.28000000003</v>
      </c>
      <c r="N24" s="12">
        <f>L24+'Actual Values'!$D$7</f>
        <v>440059.72</v>
      </c>
      <c r="O24" s="12">
        <f>'Actual Values'!$C$9*'NOLH Designs (2)'!F25</f>
        <v>103657.25</v>
      </c>
      <c r="P24" s="12">
        <f>'Actual Values'!$C$9-'ExpValues Eq'!O24</f>
        <v>310971.75</v>
      </c>
      <c r="Q24" s="12">
        <f>O24+'Actual Values'!$D$9</f>
        <v>152632.25</v>
      </c>
      <c r="R24" s="12">
        <f>'Actual Values'!$A$21*'NOLH Designs (2)'!S25</f>
        <v>91.5</v>
      </c>
      <c r="S24" s="12">
        <f>'Actual Values'!$B$21*'NOLH Designs (2)'!S25</f>
        <v>156.75</v>
      </c>
      <c r="T24" s="12">
        <f>'Actual Values'!$C$21*'NOLH Designs (2)'!S25</f>
        <v>92.25</v>
      </c>
      <c r="U24" s="12">
        <f>'Actual Values'!$A$25*'NOLH Designs (2)'!T25</f>
        <v>74.25</v>
      </c>
      <c r="V24" s="12">
        <f>'Actual Values'!$B$25*'NOLH Designs (2)'!T25</f>
        <v>120.78</v>
      </c>
      <c r="W24" s="12">
        <f>'Actual Values'!$A$13*'NOLH Designs (2)'!G25</f>
        <v>33.9</v>
      </c>
      <c r="X24" s="12">
        <f>'Actual Values'!$B$13*'NOLH Designs (2)'!H25</f>
        <v>50.4</v>
      </c>
      <c r="Y24" s="12">
        <f>'Actual Values'!$A$17*'NOLH Designs (2)'!Q25</f>
        <v>3.16</v>
      </c>
      <c r="Z24" s="12">
        <f>'Actual Values'!$B$17*'NOLH Designs (2)'!R25</f>
        <v>26.400000000000002</v>
      </c>
      <c r="AA24" s="12">
        <f>'Actual Values'!$C$17*'NOLH Designs (2)'!Q25</f>
        <v>1.58</v>
      </c>
      <c r="AB24" s="12">
        <f>'Actual Values'!$D$17*'NOLH Designs (2)'!R25</f>
        <v>12</v>
      </c>
      <c r="AC24" s="6">
        <v>0.9</v>
      </c>
      <c r="AD24" s="6">
        <v>0.13</v>
      </c>
      <c r="AE24" s="6">
        <v>0.28999999999999998</v>
      </c>
      <c r="AF24" s="6">
        <v>0.65</v>
      </c>
      <c r="AG24" s="6">
        <v>0.39</v>
      </c>
      <c r="AH24" s="6">
        <v>0.1</v>
      </c>
      <c r="AI24" s="6">
        <v>0.19</v>
      </c>
      <c r="AJ24" s="6">
        <v>0.26</v>
      </c>
    </row>
    <row r="25" spans="1:36" x14ac:dyDescent="0.2">
      <c r="A25" s="8">
        <v>22</v>
      </c>
      <c r="B25" s="6">
        <f>'Actual Values'!$B$3*'NOLH Designs (2)'!B26</f>
        <v>6710054.4000000004</v>
      </c>
      <c r="C25" s="6">
        <f>'Actual Values'!$B$5*'NOLH Designs (2)'!B26</f>
        <v>5887324.8000000007</v>
      </c>
      <c r="D25" s="6">
        <f>'Actual Values'!$B$7*'NOLH Designs (2)'!B26</f>
        <v>3089211</v>
      </c>
      <c r="E25" s="6">
        <f>'Actual Values'!$B$9*'NOLH Designs (2)'!B26</f>
        <v>2307411.1800000002</v>
      </c>
      <c r="F25" s="12">
        <f>'Actual Values'!$C$3*'NOLH Designs (2)'!C26</f>
        <v>156748.79999999987</v>
      </c>
      <c r="G25" s="12">
        <f>'Actual Values'!$C$3-'ExpValues Eq'!F25</f>
        <v>1049011.2000000002</v>
      </c>
      <c r="H25" s="12">
        <f>F25+'Actual Values'!$D$3</f>
        <v>379748.79999999987</v>
      </c>
      <c r="I25" s="12">
        <f>'Actual Values'!$C$5*'NOLH Designs (2)'!D26</f>
        <v>338534.40000000008</v>
      </c>
      <c r="J25" s="12">
        <f>'Actual Values'!$C$5-'ExpValues Eq'!I25</f>
        <v>719385.59999999986</v>
      </c>
      <c r="K25" s="12">
        <f>I25+'Actual Values'!$D$5</f>
        <v>596534.40000000014</v>
      </c>
      <c r="L25" s="12">
        <f>'Actual Values'!$C$7*'NOLH Designs (2)'!E26</f>
        <v>255352.43999999997</v>
      </c>
      <c r="M25" s="12">
        <f>'Actual Values'!$C$7-'ExpValues Eq'!L25</f>
        <v>299761.56000000006</v>
      </c>
      <c r="N25" s="12">
        <f>L25+'Actual Values'!$D$7</f>
        <v>428957.43999999994</v>
      </c>
      <c r="O25" s="12">
        <f>'Actual Values'!$C$9*'NOLH Designs (2)'!F26</f>
        <v>78779.50999999998</v>
      </c>
      <c r="P25" s="12">
        <f>'Actual Values'!$C$9-'ExpValues Eq'!O25</f>
        <v>335849.49</v>
      </c>
      <c r="Q25" s="12">
        <f>O25+'Actual Values'!$D$9</f>
        <v>127754.50999999998</v>
      </c>
      <c r="R25" s="12">
        <f>'Actual Values'!$A$21*'NOLH Designs (2)'!S26</f>
        <v>86.61999999999999</v>
      </c>
      <c r="S25" s="12">
        <f>'Actual Values'!$B$21*'NOLH Designs (2)'!S26</f>
        <v>148.38999999999999</v>
      </c>
      <c r="T25" s="12">
        <f>'Actual Values'!$C$21*'NOLH Designs (2)'!S26</f>
        <v>87.33</v>
      </c>
      <c r="U25" s="12">
        <f>'Actual Values'!$A$25*'NOLH Designs (2)'!T26</f>
        <v>68.25</v>
      </c>
      <c r="V25" s="12">
        <f>'Actual Values'!$B$25*'NOLH Designs (2)'!T26</f>
        <v>111.02000000000001</v>
      </c>
      <c r="W25" s="12">
        <f>'Actual Values'!$A$13*'NOLH Designs (2)'!G26</f>
        <v>21</v>
      </c>
      <c r="X25" s="12">
        <f>'Actual Values'!$B$13*'NOLH Designs (2)'!H26</f>
        <v>77.400000000000006</v>
      </c>
      <c r="Y25" s="12">
        <f>'Actual Values'!$A$17*'NOLH Designs (2)'!Q26</f>
        <v>3.76</v>
      </c>
      <c r="Z25" s="12">
        <f>'Actual Values'!$B$17*'NOLH Designs (2)'!R26</f>
        <v>27.72</v>
      </c>
      <c r="AA25" s="12">
        <f>'Actual Values'!$C$17*'NOLH Designs (2)'!Q26</f>
        <v>1.88</v>
      </c>
      <c r="AB25" s="12">
        <f>'Actual Values'!$D$17*'NOLH Designs (2)'!R26</f>
        <v>12.6</v>
      </c>
      <c r="AC25" s="6">
        <v>0.68</v>
      </c>
      <c r="AD25" s="6">
        <v>0.39</v>
      </c>
      <c r="AE25" s="6">
        <v>0.27</v>
      </c>
      <c r="AF25" s="6">
        <v>0.61</v>
      </c>
      <c r="AG25" s="6">
        <v>0.27</v>
      </c>
      <c r="AH25" s="6">
        <v>0.1</v>
      </c>
      <c r="AI25" s="6">
        <v>0.13</v>
      </c>
      <c r="AJ25" s="6">
        <v>0.21</v>
      </c>
    </row>
    <row r="26" spans="1:36" x14ac:dyDescent="0.2">
      <c r="A26" s="8">
        <v>23</v>
      </c>
      <c r="B26" s="6">
        <f>'Actual Values'!$B$3*'NOLH Designs (2)'!B27</f>
        <v>5380704</v>
      </c>
      <c r="C26" s="6">
        <f>'Actual Values'!$B$5*'NOLH Designs (2)'!B27</f>
        <v>4720968</v>
      </c>
      <c r="D26" s="6">
        <f>'Actual Values'!$B$7*'NOLH Designs (2)'!B27</f>
        <v>2477197.5</v>
      </c>
      <c r="E26" s="6">
        <f>'Actual Values'!$B$9*'NOLH Designs (2)'!B27</f>
        <v>1850282.55</v>
      </c>
      <c r="F26" s="12">
        <f>'Actual Values'!$C$3*'NOLH Designs (2)'!C27</f>
        <v>434073.60000000009</v>
      </c>
      <c r="G26" s="12">
        <f>'Actual Values'!$C$3-'ExpValues Eq'!F26</f>
        <v>771686.39999999991</v>
      </c>
      <c r="H26" s="12">
        <f>F26+'Actual Values'!$D$3</f>
        <v>657073.60000000009</v>
      </c>
      <c r="I26" s="12">
        <f>'Actual Values'!$C$5*'NOLH Designs (2)'!D27</f>
        <v>412588.79999999987</v>
      </c>
      <c r="J26" s="12">
        <f>'Actual Values'!$C$5-'ExpValues Eq'!I26</f>
        <v>645331.20000000019</v>
      </c>
      <c r="K26" s="12">
        <f>I26+'Actual Values'!$D$5</f>
        <v>670588.79999999981</v>
      </c>
      <c r="L26" s="12">
        <f>'Actual Values'!$C$7*'NOLH Designs (2)'!E27</f>
        <v>272005.86</v>
      </c>
      <c r="M26" s="12">
        <f>'Actual Values'!$C$7-'ExpValues Eq'!L26</f>
        <v>283108.14</v>
      </c>
      <c r="N26" s="12">
        <f>L26+'Actual Values'!$D$7</f>
        <v>445610.86</v>
      </c>
      <c r="O26" s="12">
        <f>'Actual Values'!$C$9*'NOLH Designs (2)'!F27</f>
        <v>66340.63999999997</v>
      </c>
      <c r="P26" s="12">
        <f>'Actual Values'!$C$9-'ExpValues Eq'!O26</f>
        <v>348288.36000000004</v>
      </c>
      <c r="Q26" s="12">
        <f>O26+'Actual Values'!$D$9</f>
        <v>115315.63999999997</v>
      </c>
      <c r="R26" s="12">
        <f>'Actual Values'!$A$21*'NOLH Designs (2)'!S27</f>
        <v>53.68</v>
      </c>
      <c r="S26" s="12">
        <f>'Actual Values'!$B$21*'NOLH Designs (2)'!S27</f>
        <v>91.96</v>
      </c>
      <c r="T26" s="12">
        <f>'Actual Values'!$C$21*'NOLH Designs (2)'!S27</f>
        <v>54.12</v>
      </c>
      <c r="U26" s="12">
        <f>'Actual Values'!$A$25*'NOLH Designs (2)'!T27</f>
        <v>64.5</v>
      </c>
      <c r="V26" s="12">
        <f>'Actual Values'!$B$25*'NOLH Designs (2)'!T27</f>
        <v>104.92</v>
      </c>
      <c r="W26" s="12">
        <f>'Actual Values'!$A$13*'NOLH Designs (2)'!G27</f>
        <v>26.4</v>
      </c>
      <c r="X26" s="12">
        <f>'Actual Values'!$B$13*'NOLH Designs (2)'!H27</f>
        <v>38.4</v>
      </c>
      <c r="Y26" s="12">
        <f>'Actual Values'!$A$17*'NOLH Designs (2)'!Q27</f>
        <v>4.08</v>
      </c>
      <c r="Z26" s="12">
        <f>'Actual Values'!$B$17*'NOLH Designs (2)'!R27</f>
        <v>27.389999999999997</v>
      </c>
      <c r="AA26" s="12">
        <f>'Actual Values'!$C$17*'NOLH Designs (2)'!Q27</f>
        <v>2.04</v>
      </c>
      <c r="AB26" s="12">
        <f>'Actual Values'!$D$17*'NOLH Designs (2)'!R27</f>
        <v>12.45</v>
      </c>
      <c r="AC26" s="6">
        <v>0.88</v>
      </c>
      <c r="AD26" s="6">
        <v>0.11</v>
      </c>
      <c r="AE26" s="6">
        <v>0.36</v>
      </c>
      <c r="AF26" s="6">
        <v>0.84</v>
      </c>
      <c r="AG26" s="6">
        <v>0.11</v>
      </c>
      <c r="AH26" s="6">
        <v>0.37</v>
      </c>
      <c r="AI26" s="6">
        <v>0.18</v>
      </c>
      <c r="AJ26" s="6">
        <v>0.26</v>
      </c>
    </row>
    <row r="27" spans="1:36" x14ac:dyDescent="0.2">
      <c r="A27" s="8">
        <v>24</v>
      </c>
      <c r="B27" s="6">
        <f>'Actual Values'!$B$3*'NOLH Designs (2)'!B28</f>
        <v>7089868.8000000007</v>
      </c>
      <c r="C27" s="6">
        <f>'Actual Values'!$B$5*'NOLH Designs (2)'!B28</f>
        <v>6220569.6000000006</v>
      </c>
      <c r="D27" s="6">
        <f>'Actual Values'!$B$7*'NOLH Designs (2)'!B28</f>
        <v>3264072.0000000005</v>
      </c>
      <c r="E27" s="6">
        <f>'Actual Values'!$B$9*'NOLH Designs (2)'!B28</f>
        <v>2438019.3600000003</v>
      </c>
      <c r="F27" s="12">
        <f>'Actual Values'!$C$3*'NOLH Designs (2)'!C28</f>
        <v>373785.60000000009</v>
      </c>
      <c r="G27" s="12">
        <f>'Actual Values'!$C$3-'ExpValues Eq'!F27</f>
        <v>831974.39999999991</v>
      </c>
      <c r="H27" s="12">
        <f>F27+'Actual Values'!$D$3</f>
        <v>596785.60000000009</v>
      </c>
      <c r="I27" s="12">
        <f>'Actual Values'!$C$5*'NOLH Designs (2)'!D28</f>
        <v>507801.59999999998</v>
      </c>
      <c r="J27" s="12">
        <f>'Actual Values'!$C$5-'ExpValues Eq'!I27</f>
        <v>550118.40000000002</v>
      </c>
      <c r="K27" s="12">
        <f>I27+'Actual Values'!$D$5</f>
        <v>765801.6</v>
      </c>
      <c r="L27" s="12">
        <f>'Actual Values'!$C$7*'NOLH Designs (2)'!E28</f>
        <v>272005.86</v>
      </c>
      <c r="M27" s="12">
        <f>'Actual Values'!$C$7-'ExpValues Eq'!L27</f>
        <v>283108.14</v>
      </c>
      <c r="N27" s="12">
        <f>L27+'Actual Values'!$D$7</f>
        <v>445610.86</v>
      </c>
      <c r="O27" s="12">
        <f>'Actual Values'!$C$9*'NOLH Designs (2)'!F28</f>
        <v>37316.61000000003</v>
      </c>
      <c r="P27" s="12">
        <f>'Actual Values'!$C$9-'ExpValues Eq'!O27</f>
        <v>377312.38999999996</v>
      </c>
      <c r="Q27" s="12">
        <f>O27+'Actual Values'!$D$9</f>
        <v>86291.61000000003</v>
      </c>
      <c r="R27" s="12">
        <f>'Actual Values'!$A$21*'NOLH Designs (2)'!S28</f>
        <v>70.759999999999991</v>
      </c>
      <c r="S27" s="12">
        <f>'Actual Values'!$B$21*'NOLH Designs (2)'!S28</f>
        <v>121.21999999999998</v>
      </c>
      <c r="T27" s="12">
        <f>'Actual Values'!$C$21*'NOLH Designs (2)'!S28</f>
        <v>71.339999999999989</v>
      </c>
      <c r="U27" s="12">
        <f>'Actual Values'!$A$25*'NOLH Designs (2)'!T28</f>
        <v>54.75</v>
      </c>
      <c r="V27" s="12">
        <f>'Actual Values'!$B$25*'NOLH Designs (2)'!T28</f>
        <v>89.06</v>
      </c>
      <c r="W27" s="12">
        <f>'Actual Values'!$A$13*'NOLH Designs (2)'!G28</f>
        <v>33</v>
      </c>
      <c r="X27" s="12">
        <f>'Actual Values'!$B$13*'NOLH Designs (2)'!H28</f>
        <v>75</v>
      </c>
      <c r="Y27" s="12">
        <f>'Actual Values'!$A$17*'NOLH Designs (2)'!Q28</f>
        <v>3.48</v>
      </c>
      <c r="Z27" s="12">
        <f>'Actual Values'!$B$17*'NOLH Designs (2)'!R28</f>
        <v>25.080000000000002</v>
      </c>
      <c r="AA27" s="12">
        <f>'Actual Values'!$C$17*'NOLH Designs (2)'!Q28</f>
        <v>1.74</v>
      </c>
      <c r="AB27" s="12">
        <f>'Actual Values'!$D$17*'NOLH Designs (2)'!R28</f>
        <v>11.4</v>
      </c>
      <c r="AC27" s="6">
        <v>0.68</v>
      </c>
      <c r="AD27" s="6">
        <v>0.4</v>
      </c>
      <c r="AE27" s="6">
        <v>0.22</v>
      </c>
      <c r="AF27" s="6">
        <v>0.79</v>
      </c>
      <c r="AG27" s="6">
        <v>0.14000000000000001</v>
      </c>
      <c r="AH27" s="6">
        <v>0.38</v>
      </c>
      <c r="AI27" s="6">
        <v>0.16</v>
      </c>
      <c r="AJ27" s="6">
        <v>0.23</v>
      </c>
    </row>
    <row r="28" spans="1:36" x14ac:dyDescent="0.2">
      <c r="A28" s="8">
        <v>25</v>
      </c>
      <c r="B28" s="6">
        <f>'Actual Values'!$B$3*'NOLH Designs (2)'!B29</f>
        <v>5633913.5999999996</v>
      </c>
      <c r="C28" s="6">
        <f>'Actual Values'!$B$5*'NOLH Designs (2)'!B29</f>
        <v>4943131.2</v>
      </c>
      <c r="D28" s="6">
        <f>'Actual Values'!$B$7*'NOLH Designs (2)'!B29</f>
        <v>2593771.5</v>
      </c>
      <c r="E28" s="6">
        <f>'Actual Values'!$B$9*'NOLH Designs (2)'!B29</f>
        <v>1937354.67</v>
      </c>
      <c r="F28" s="12">
        <f>'Actual Values'!$C$3*'NOLH Designs (2)'!C29</f>
        <v>144691.20000000013</v>
      </c>
      <c r="G28" s="12">
        <f>'Actual Values'!$C$3-'ExpValues Eq'!F28</f>
        <v>1061068.7999999998</v>
      </c>
      <c r="H28" s="12">
        <f>F28+'Actual Values'!$D$3</f>
        <v>367691.20000000013</v>
      </c>
      <c r="I28" s="12">
        <f>'Actual Values'!$C$5*'NOLH Designs (2)'!D29</f>
        <v>243321.59999999998</v>
      </c>
      <c r="J28" s="12">
        <f>'Actual Values'!$C$5-'ExpValues Eq'!I28</f>
        <v>814598.4</v>
      </c>
      <c r="K28" s="12">
        <f>I28+'Actual Values'!$D$5</f>
        <v>501321.6</v>
      </c>
      <c r="L28" s="12">
        <f>'Actual Values'!$C$7*'NOLH Designs (2)'!E29</f>
        <v>166534.20000000001</v>
      </c>
      <c r="M28" s="12">
        <f>'Actual Values'!$C$7-'ExpValues Eq'!L28</f>
        <v>388579.8</v>
      </c>
      <c r="N28" s="12">
        <f>L28+'Actual Values'!$D$7</f>
        <v>340139.2</v>
      </c>
      <c r="O28" s="12">
        <f>'Actual Values'!$C$9*'NOLH Designs (2)'!F29</f>
        <v>66340.63999999997</v>
      </c>
      <c r="P28" s="12">
        <f>'Actual Values'!$C$9-'ExpValues Eq'!O28</f>
        <v>348288.36000000004</v>
      </c>
      <c r="Q28" s="12">
        <f>O28+'Actual Values'!$D$9</f>
        <v>115315.63999999997</v>
      </c>
      <c r="R28" s="12">
        <f>'Actual Values'!$A$21*'NOLH Designs (2)'!S29</f>
        <v>114.67999999999999</v>
      </c>
      <c r="S28" s="12">
        <f>'Actual Values'!$B$21*'NOLH Designs (2)'!S29</f>
        <v>196.45999999999998</v>
      </c>
      <c r="T28" s="12">
        <f>'Actual Values'!$C$21*'NOLH Designs (2)'!S29</f>
        <v>115.61999999999999</v>
      </c>
      <c r="U28" s="12">
        <f>'Actual Values'!$A$25*'NOLH Designs (2)'!T29</f>
        <v>26.25</v>
      </c>
      <c r="V28" s="12">
        <f>'Actual Values'!$B$25*'NOLH Designs (2)'!T29</f>
        <v>42.699999999999996</v>
      </c>
      <c r="W28" s="12">
        <f>'Actual Values'!$A$13*'NOLH Designs (2)'!G29</f>
        <v>41.699999999999996</v>
      </c>
      <c r="X28" s="12">
        <f>'Actual Values'!$B$13*'NOLH Designs (2)'!H29</f>
        <v>58.8</v>
      </c>
      <c r="Y28" s="12">
        <f>'Actual Values'!$A$17*'NOLH Designs (2)'!Q29</f>
        <v>4.6399999999999997</v>
      </c>
      <c r="Z28" s="12">
        <f>'Actual Values'!$B$17*'NOLH Designs (2)'!R29</f>
        <v>30.360000000000003</v>
      </c>
      <c r="AA28" s="12">
        <f>'Actual Values'!$C$17*'NOLH Designs (2)'!Q29</f>
        <v>2.3199999999999998</v>
      </c>
      <c r="AB28" s="12">
        <f>'Actual Values'!$D$17*'NOLH Designs (2)'!R29</f>
        <v>13.8</v>
      </c>
      <c r="AC28" s="6">
        <v>0.68</v>
      </c>
      <c r="AD28" s="6">
        <v>0.23</v>
      </c>
      <c r="AE28" s="6">
        <v>0.35</v>
      </c>
      <c r="AF28" s="6">
        <v>0.76</v>
      </c>
      <c r="AG28" s="6">
        <v>0.23</v>
      </c>
      <c r="AH28" s="6">
        <v>0.18</v>
      </c>
      <c r="AI28" s="6">
        <v>0.12</v>
      </c>
      <c r="AJ28" s="6">
        <v>0.11</v>
      </c>
    </row>
    <row r="29" spans="1:36" x14ac:dyDescent="0.2">
      <c r="A29" s="8">
        <v>26</v>
      </c>
      <c r="B29" s="6">
        <f>'Actual Values'!$B$3*'NOLH Designs (2)'!B30</f>
        <v>7722892.7999999998</v>
      </c>
      <c r="C29" s="6">
        <f>'Actual Values'!$B$5*'NOLH Designs (2)'!B30</f>
        <v>6775977.5999999996</v>
      </c>
      <c r="D29" s="6">
        <f>'Actual Values'!$B$7*'NOLH Designs (2)'!B30</f>
        <v>3555507</v>
      </c>
      <c r="E29" s="6">
        <f>'Actual Values'!$B$9*'NOLH Designs (2)'!B30</f>
        <v>2655699.66</v>
      </c>
      <c r="F29" s="12">
        <f>'Actual Values'!$C$3*'NOLH Designs (2)'!C30</f>
        <v>0</v>
      </c>
      <c r="G29" s="12">
        <f>'Actual Values'!$C$3-'ExpValues Eq'!F29</f>
        <v>1205760</v>
      </c>
      <c r="H29" s="12">
        <f>F29+'Actual Values'!$D$3</f>
        <v>223000</v>
      </c>
      <c r="I29" s="12">
        <f>'Actual Values'!$C$5*'NOLH Designs (2)'!D30</f>
        <v>243321.59999999998</v>
      </c>
      <c r="J29" s="12">
        <f>'Actual Values'!$C$5-'ExpValues Eq'!I29</f>
        <v>814598.4</v>
      </c>
      <c r="K29" s="12">
        <f>I29+'Actual Values'!$D$5</f>
        <v>501321.6</v>
      </c>
      <c r="L29" s="12">
        <f>'Actual Values'!$C$7*'NOLH Designs (2)'!E30</f>
        <v>160983.06000000003</v>
      </c>
      <c r="M29" s="12">
        <f>'Actual Values'!$C$7-'ExpValues Eq'!L29</f>
        <v>394130.93999999994</v>
      </c>
      <c r="N29" s="12">
        <f>L29+'Actual Values'!$D$7</f>
        <v>334588.06000000006</v>
      </c>
      <c r="O29" s="12">
        <f>'Actual Values'!$C$9*'NOLH Designs (2)'!F30</f>
        <v>29024.030000000024</v>
      </c>
      <c r="P29" s="12">
        <f>'Actual Values'!$C$9-'ExpValues Eq'!O29</f>
        <v>385604.97</v>
      </c>
      <c r="Q29" s="12">
        <f>O29+'Actual Values'!$D$9</f>
        <v>77999.030000000028</v>
      </c>
      <c r="R29" s="12">
        <f>'Actual Values'!$A$21*'NOLH Designs (2)'!S30</f>
        <v>115.89999999999999</v>
      </c>
      <c r="S29" s="12">
        <f>'Actual Values'!$B$21*'NOLH Designs (2)'!S30</f>
        <v>198.54999999999998</v>
      </c>
      <c r="T29" s="12">
        <f>'Actual Values'!$C$21*'NOLH Designs (2)'!S30</f>
        <v>116.85</v>
      </c>
      <c r="U29" s="12">
        <f>'Actual Values'!$A$25*'NOLH Designs (2)'!T30</f>
        <v>39.75</v>
      </c>
      <c r="V29" s="12">
        <f>'Actual Values'!$B$25*'NOLH Designs (2)'!T30</f>
        <v>64.66</v>
      </c>
      <c r="W29" s="12">
        <f>'Actual Values'!$A$13*'NOLH Designs (2)'!G30</f>
        <v>24.9</v>
      </c>
      <c r="X29" s="12">
        <f>'Actual Values'!$B$13*'NOLH Designs (2)'!H30</f>
        <v>54.6</v>
      </c>
      <c r="Y29" s="12">
        <f>'Actual Values'!$A$17*'NOLH Designs (2)'!Q30</f>
        <v>4.8</v>
      </c>
      <c r="Z29" s="12">
        <f>'Actual Values'!$B$17*'NOLH Designs (2)'!R30</f>
        <v>27.06</v>
      </c>
      <c r="AA29" s="12">
        <f>'Actual Values'!$C$17*'NOLH Designs (2)'!Q30</f>
        <v>2.4</v>
      </c>
      <c r="AB29" s="12">
        <f>'Actual Values'!$D$17*'NOLH Designs (2)'!R30</f>
        <v>12.299999999999999</v>
      </c>
      <c r="AC29" s="6">
        <v>0.84</v>
      </c>
      <c r="AD29" s="6">
        <v>0.28999999999999998</v>
      </c>
      <c r="AE29" s="6">
        <v>0.19</v>
      </c>
      <c r="AF29" s="6">
        <v>0.8</v>
      </c>
      <c r="AG29" s="6">
        <v>0.2</v>
      </c>
      <c r="AH29" s="6">
        <v>0.11</v>
      </c>
      <c r="AI29" s="6">
        <v>0.14000000000000001</v>
      </c>
      <c r="AJ29" s="6">
        <v>0.18</v>
      </c>
    </row>
    <row r="30" spans="1:36" x14ac:dyDescent="0.2">
      <c r="A30" s="8">
        <v>27</v>
      </c>
      <c r="B30" s="6">
        <f>'Actual Values'!$B$3*'NOLH Designs (2)'!B31</f>
        <v>5507308.7999999998</v>
      </c>
      <c r="C30" s="6">
        <f>'Actual Values'!$B$5*'NOLH Designs (2)'!B31</f>
        <v>4832049.5999999996</v>
      </c>
      <c r="D30" s="6">
        <f>'Actual Values'!$B$7*'NOLH Designs (2)'!B31</f>
        <v>2535484.5</v>
      </c>
      <c r="E30" s="6">
        <f>'Actual Values'!$B$9*'NOLH Designs (2)'!B31</f>
        <v>1893818.61</v>
      </c>
      <c r="F30" s="12">
        <f>'Actual Values'!$C$3*'NOLH Designs (2)'!C31</f>
        <v>434073.60000000009</v>
      </c>
      <c r="G30" s="12">
        <f>'Actual Values'!$C$3-'ExpValues Eq'!F30</f>
        <v>771686.39999999991</v>
      </c>
      <c r="H30" s="12">
        <f>F30+'Actual Values'!$D$3</f>
        <v>657073.60000000009</v>
      </c>
      <c r="I30" s="12">
        <f>'Actual Values'!$C$5*'NOLH Designs (2)'!D31</f>
        <v>148108.7999999999</v>
      </c>
      <c r="J30" s="12">
        <f>'Actual Values'!$C$5-'ExpValues Eq'!I30</f>
        <v>909811.20000000007</v>
      </c>
      <c r="K30" s="12">
        <f>I30+'Actual Values'!$D$5</f>
        <v>406108.79999999993</v>
      </c>
      <c r="L30" s="12">
        <f>'Actual Values'!$C$7*'NOLH Designs (2)'!E31</f>
        <v>277557</v>
      </c>
      <c r="M30" s="12">
        <f>'Actual Values'!$C$7-'ExpValues Eq'!L30</f>
        <v>277557</v>
      </c>
      <c r="N30" s="12">
        <f>L30+'Actual Values'!$D$7</f>
        <v>451162</v>
      </c>
      <c r="O30" s="12">
        <f>'Actual Values'!$C$9*'NOLH Designs (2)'!F31</f>
        <v>12438.870000000012</v>
      </c>
      <c r="P30" s="12">
        <f>'Actual Values'!$C$9-'ExpValues Eq'!O30</f>
        <v>402190.13</v>
      </c>
      <c r="Q30" s="12">
        <f>O30+'Actual Values'!$D$9</f>
        <v>61413.87000000001</v>
      </c>
      <c r="R30" s="12">
        <f>'Actual Values'!$A$21*'NOLH Designs (2)'!S31</f>
        <v>42.699999999999996</v>
      </c>
      <c r="S30" s="12">
        <f>'Actual Values'!$B$21*'NOLH Designs (2)'!S31</f>
        <v>73.149999999999991</v>
      </c>
      <c r="T30" s="12">
        <f>'Actual Values'!$C$21*'NOLH Designs (2)'!S31</f>
        <v>43.05</v>
      </c>
      <c r="U30" s="12">
        <f>'Actual Values'!$A$25*'NOLH Designs (2)'!T31</f>
        <v>31.5</v>
      </c>
      <c r="V30" s="12">
        <f>'Actual Values'!$B$25*'NOLH Designs (2)'!T31</f>
        <v>51.239999999999995</v>
      </c>
      <c r="W30" s="12">
        <f>'Actual Values'!$A$13*'NOLH Designs (2)'!G31</f>
        <v>20.7</v>
      </c>
      <c r="X30" s="12">
        <f>'Actual Values'!$B$13*'NOLH Designs (2)'!H31</f>
        <v>64.800000000000011</v>
      </c>
      <c r="Y30" s="12">
        <f>'Actual Values'!$A$17*'NOLH Designs (2)'!Q31</f>
        <v>4.16</v>
      </c>
      <c r="Z30" s="12">
        <f>'Actual Values'!$B$17*'NOLH Designs (2)'!R31</f>
        <v>33</v>
      </c>
      <c r="AA30" s="12">
        <f>'Actual Values'!$C$17*'NOLH Designs (2)'!Q31</f>
        <v>2.08</v>
      </c>
      <c r="AB30" s="12">
        <f>'Actual Values'!$D$17*'NOLH Designs (2)'!R31</f>
        <v>15</v>
      </c>
      <c r="AC30" s="6">
        <v>0.69</v>
      </c>
      <c r="AD30" s="6">
        <v>0.19</v>
      </c>
      <c r="AE30" s="6">
        <v>0.35</v>
      </c>
      <c r="AF30" s="6">
        <v>0.74</v>
      </c>
      <c r="AG30" s="6">
        <v>0.31</v>
      </c>
      <c r="AH30" s="6">
        <v>0.25</v>
      </c>
      <c r="AI30" s="6">
        <v>0.13</v>
      </c>
      <c r="AJ30" s="6">
        <v>0.18</v>
      </c>
    </row>
    <row r="31" spans="1:36" x14ac:dyDescent="0.2">
      <c r="A31" s="8">
        <v>28</v>
      </c>
      <c r="B31" s="6">
        <f>'Actual Values'!$B$3*'NOLH Designs (2)'!B32</f>
        <v>7912800</v>
      </c>
      <c r="C31" s="6">
        <f>'Actual Values'!$B$5*'NOLH Designs (2)'!B32</f>
        <v>6942600</v>
      </c>
      <c r="D31" s="6">
        <f>'Actual Values'!$B$7*'NOLH Designs (2)'!B32</f>
        <v>3642937.5</v>
      </c>
      <c r="E31" s="6">
        <f>'Actual Values'!$B$9*'NOLH Designs (2)'!B32</f>
        <v>2721003.75</v>
      </c>
      <c r="F31" s="12">
        <f>'Actual Values'!$C$3*'NOLH Designs (2)'!C32</f>
        <v>566707.19999999995</v>
      </c>
      <c r="G31" s="12">
        <f>'Actual Values'!$C$3-'ExpValues Eq'!F31</f>
        <v>639052.80000000005</v>
      </c>
      <c r="H31" s="12">
        <f>F31+'Actual Values'!$D$3</f>
        <v>789707.2</v>
      </c>
      <c r="I31" s="12">
        <f>'Actual Values'!$C$5*'NOLH Designs (2)'!D32</f>
        <v>190425.59999999995</v>
      </c>
      <c r="J31" s="12">
        <f>'Actual Values'!$C$5-'ExpValues Eq'!I31</f>
        <v>867494.40000000002</v>
      </c>
      <c r="K31" s="12">
        <f>I31+'Actual Values'!$D$5</f>
        <v>448425.6</v>
      </c>
      <c r="L31" s="12">
        <f>'Actual Values'!$C$7*'NOLH Designs (2)'!E32</f>
        <v>194289.90000000005</v>
      </c>
      <c r="M31" s="12">
        <f>'Actual Values'!$C$7-'ExpValues Eq'!L31</f>
        <v>360824.1</v>
      </c>
      <c r="N31" s="12">
        <f>L31+'Actual Values'!$D$7</f>
        <v>367894.9</v>
      </c>
      <c r="O31" s="12">
        <f>'Actual Values'!$C$9*'NOLH Designs (2)'!F32</f>
        <v>33170.320000000029</v>
      </c>
      <c r="P31" s="12">
        <f>'Actual Values'!$C$9-'ExpValues Eq'!O31</f>
        <v>381458.68</v>
      </c>
      <c r="Q31" s="12">
        <f>O31+'Actual Values'!$D$9</f>
        <v>82145.320000000036</v>
      </c>
      <c r="R31" s="12">
        <f>'Actual Values'!$A$21*'NOLH Designs (2)'!S32</f>
        <v>58.559999999999995</v>
      </c>
      <c r="S31" s="12">
        <f>'Actual Values'!$B$21*'NOLH Designs (2)'!S32</f>
        <v>100.32</v>
      </c>
      <c r="T31" s="12">
        <f>'Actual Values'!$C$21*'NOLH Designs (2)'!S32</f>
        <v>59.04</v>
      </c>
      <c r="U31" s="12">
        <f>'Actual Values'!$A$25*'NOLH Designs (2)'!T32</f>
        <v>43.5</v>
      </c>
      <c r="V31" s="12">
        <f>'Actual Values'!$B$25*'NOLH Designs (2)'!T32</f>
        <v>70.759999999999991</v>
      </c>
      <c r="W31" s="12">
        <f>'Actual Values'!$A$13*'NOLH Designs (2)'!G32</f>
        <v>36</v>
      </c>
      <c r="X31" s="12">
        <f>'Actual Values'!$B$13*'NOLH Designs (2)'!H32</f>
        <v>49.8</v>
      </c>
      <c r="Y31" s="12">
        <f>'Actual Values'!$A$17*'NOLH Designs (2)'!Q32</f>
        <v>4.4400000000000004</v>
      </c>
      <c r="Z31" s="12">
        <f>'Actual Values'!$B$17*'NOLH Designs (2)'!R32</f>
        <v>28.38</v>
      </c>
      <c r="AA31" s="12">
        <f>'Actual Values'!$C$17*'NOLH Designs (2)'!Q32</f>
        <v>2.2200000000000002</v>
      </c>
      <c r="AB31" s="12">
        <f>'Actual Values'!$D$17*'NOLH Designs (2)'!R32</f>
        <v>12.9</v>
      </c>
      <c r="AC31" s="6">
        <v>0.78</v>
      </c>
      <c r="AD31" s="6">
        <v>0.39</v>
      </c>
      <c r="AE31" s="6">
        <v>0.12</v>
      </c>
      <c r="AF31" s="6">
        <v>0.69</v>
      </c>
      <c r="AG31" s="6">
        <v>0.34</v>
      </c>
      <c r="AH31" s="6">
        <v>0.28000000000000003</v>
      </c>
      <c r="AI31" s="6">
        <v>0.11</v>
      </c>
      <c r="AJ31" s="6">
        <v>0.2</v>
      </c>
    </row>
    <row r="32" spans="1:36" x14ac:dyDescent="0.2">
      <c r="A32" s="8">
        <v>29</v>
      </c>
      <c r="B32" s="6">
        <f>'Actual Values'!$B$3*'NOLH Designs (2)'!B33</f>
        <v>5633913.5999999996</v>
      </c>
      <c r="C32" s="6">
        <f>'Actual Values'!$B$5*'NOLH Designs (2)'!B33</f>
        <v>4943131.2</v>
      </c>
      <c r="D32" s="6">
        <f>'Actual Values'!$B$7*'NOLH Designs (2)'!B33</f>
        <v>2593771.5</v>
      </c>
      <c r="E32" s="6">
        <f>'Actual Values'!$B$9*'NOLH Designs (2)'!B33</f>
        <v>1937354.67</v>
      </c>
      <c r="F32" s="12">
        <f>'Actual Values'!$C$3*'NOLH Designs (2)'!C33</f>
        <v>277324.79999999999</v>
      </c>
      <c r="G32" s="12">
        <f>'Actual Values'!$C$3-'ExpValues Eq'!F32</f>
        <v>928435.19999999995</v>
      </c>
      <c r="H32" s="12">
        <f>F32+'Actual Values'!$D$3</f>
        <v>500324.8</v>
      </c>
      <c r="I32" s="12">
        <f>'Actual Values'!$C$5*'NOLH Designs (2)'!D33</f>
        <v>402009.59999999986</v>
      </c>
      <c r="J32" s="12">
        <f>'Actual Values'!$C$5-'ExpValues Eq'!I32</f>
        <v>655910.40000000014</v>
      </c>
      <c r="K32" s="12">
        <f>I32+'Actual Values'!$D$5</f>
        <v>660009.59999999986</v>
      </c>
      <c r="L32" s="12">
        <f>'Actual Values'!$C$7*'NOLH Designs (2)'!E33</f>
        <v>155431.92000000001</v>
      </c>
      <c r="M32" s="12">
        <f>'Actual Values'!$C$7-'ExpValues Eq'!L32</f>
        <v>399682.07999999996</v>
      </c>
      <c r="N32" s="12">
        <f>L32+'Actual Values'!$D$7</f>
        <v>329036.92000000004</v>
      </c>
      <c r="O32" s="12">
        <f>'Actual Values'!$C$9*'NOLH Designs (2)'!F33</f>
        <v>74633.219999999972</v>
      </c>
      <c r="P32" s="12">
        <f>'Actual Values'!$C$9-'ExpValues Eq'!O32</f>
        <v>339995.78</v>
      </c>
      <c r="Q32" s="12">
        <f>O32+'Actual Values'!$D$9</f>
        <v>123608.21999999997</v>
      </c>
      <c r="R32" s="12">
        <f>'Actual Values'!$A$21*'NOLH Designs (2)'!S33</f>
        <v>111.02000000000001</v>
      </c>
      <c r="S32" s="12">
        <f>'Actual Values'!$B$21*'NOLH Designs (2)'!S33</f>
        <v>190.19</v>
      </c>
      <c r="T32" s="12">
        <f>'Actual Values'!$C$21*'NOLH Designs (2)'!S33</f>
        <v>111.93</v>
      </c>
      <c r="U32" s="12">
        <f>'Actual Values'!$A$25*'NOLH Designs (2)'!T33</f>
        <v>23.25</v>
      </c>
      <c r="V32" s="12">
        <f>'Actual Values'!$B$25*'NOLH Designs (2)'!T33</f>
        <v>37.82</v>
      </c>
      <c r="W32" s="12">
        <f>'Actual Values'!$A$13*'NOLH Designs (2)'!G33</f>
        <v>30.900000000000002</v>
      </c>
      <c r="X32" s="12">
        <f>'Actual Values'!$B$13*'NOLH Designs (2)'!H33</f>
        <v>36</v>
      </c>
      <c r="Y32" s="12">
        <f>'Actual Values'!$A$17*'NOLH Designs (2)'!Q33</f>
        <v>3.24</v>
      </c>
      <c r="Z32" s="12">
        <f>'Actual Values'!$B$17*'NOLH Designs (2)'!R33</f>
        <v>32.01</v>
      </c>
      <c r="AA32" s="12">
        <f>'Actual Values'!$C$17*'NOLH Designs (2)'!Q33</f>
        <v>1.62</v>
      </c>
      <c r="AB32" s="12">
        <f>'Actual Values'!$D$17*'NOLH Designs (2)'!R33</f>
        <v>14.549999999999999</v>
      </c>
      <c r="AC32" s="6">
        <v>0.71</v>
      </c>
      <c r="AD32" s="6">
        <v>0.19</v>
      </c>
      <c r="AE32" s="6">
        <v>0.24</v>
      </c>
      <c r="AF32" s="6">
        <v>0.61</v>
      </c>
      <c r="AG32" s="6">
        <v>0.12</v>
      </c>
      <c r="AH32" s="6">
        <v>0.11</v>
      </c>
      <c r="AI32" s="6">
        <v>0.23</v>
      </c>
      <c r="AJ32" s="6">
        <v>0.25</v>
      </c>
    </row>
    <row r="33" spans="1:36" x14ac:dyDescent="0.2">
      <c r="A33" s="8">
        <v>30</v>
      </c>
      <c r="B33" s="6">
        <f>'Actual Values'!$B$3*'NOLH Designs (2)'!B34</f>
        <v>6773356.8000000007</v>
      </c>
      <c r="C33" s="6">
        <f>'Actual Values'!$B$5*'NOLH Designs (2)'!B34</f>
        <v>5942865.6000000006</v>
      </c>
      <c r="D33" s="6">
        <f>'Actual Values'!$B$7*'NOLH Designs (2)'!B34</f>
        <v>3118354.5</v>
      </c>
      <c r="E33" s="6">
        <f>'Actual Values'!$B$9*'NOLH Designs (2)'!B34</f>
        <v>2329179.21</v>
      </c>
      <c r="F33" s="12">
        <f>'Actual Values'!$C$3*'NOLH Designs (2)'!C34</f>
        <v>277324.79999999999</v>
      </c>
      <c r="G33" s="12">
        <f>'Actual Values'!$C$3-'ExpValues Eq'!F33</f>
        <v>928435.19999999995</v>
      </c>
      <c r="H33" s="12">
        <f>F33+'Actual Values'!$D$3</f>
        <v>500324.8</v>
      </c>
      <c r="I33" s="12">
        <f>'Actual Values'!$C$5*'NOLH Designs (2)'!D34</f>
        <v>528960</v>
      </c>
      <c r="J33" s="12">
        <f>'Actual Values'!$C$5-'ExpValues Eq'!I33</f>
        <v>528960</v>
      </c>
      <c r="K33" s="12">
        <f>I33+'Actual Values'!$D$5</f>
        <v>786960</v>
      </c>
      <c r="L33" s="12">
        <f>'Actual Values'!$C$7*'NOLH Designs (2)'!E34</f>
        <v>194289.90000000005</v>
      </c>
      <c r="M33" s="12">
        <f>'Actual Values'!$C$7-'ExpValues Eq'!L33</f>
        <v>360824.1</v>
      </c>
      <c r="N33" s="12">
        <f>L33+'Actual Values'!$D$7</f>
        <v>367894.9</v>
      </c>
      <c r="O33" s="12">
        <f>'Actual Values'!$C$9*'NOLH Designs (2)'!F34</f>
        <v>99510.959999999992</v>
      </c>
      <c r="P33" s="12">
        <f>'Actual Values'!$C$9-'ExpValues Eq'!O33</f>
        <v>315118.04000000004</v>
      </c>
      <c r="Q33" s="12">
        <f>O33+'Actual Values'!$D$9</f>
        <v>148485.96</v>
      </c>
      <c r="R33" s="12">
        <f>'Actual Values'!$A$21*'NOLH Designs (2)'!S34</f>
        <v>107.36</v>
      </c>
      <c r="S33" s="12">
        <f>'Actual Values'!$B$21*'NOLH Designs (2)'!S34</f>
        <v>183.92</v>
      </c>
      <c r="T33" s="12">
        <f>'Actual Values'!$C$21*'NOLH Designs (2)'!S34</f>
        <v>108.24</v>
      </c>
      <c r="U33" s="12">
        <f>'Actual Values'!$A$25*'NOLH Designs (2)'!T34</f>
        <v>36</v>
      </c>
      <c r="V33" s="12">
        <f>'Actual Values'!$B$25*'NOLH Designs (2)'!T34</f>
        <v>58.559999999999995</v>
      </c>
      <c r="W33" s="12">
        <f>'Actual Values'!$A$13*'NOLH Designs (2)'!G34</f>
        <v>28.2</v>
      </c>
      <c r="X33" s="12">
        <f>'Actual Values'!$B$13*'NOLH Designs (2)'!H34</f>
        <v>71.399999999999991</v>
      </c>
      <c r="Y33" s="12">
        <f>'Actual Values'!$A$17*'NOLH Designs (2)'!Q34</f>
        <v>3.08</v>
      </c>
      <c r="Z33" s="12">
        <f>'Actual Values'!$B$17*'NOLH Designs (2)'!R34</f>
        <v>30.69</v>
      </c>
      <c r="AA33" s="12">
        <f>'Actual Values'!$C$17*'NOLH Designs (2)'!Q34</f>
        <v>1.54</v>
      </c>
      <c r="AB33" s="12">
        <f>'Actual Values'!$D$17*'NOLH Designs (2)'!R34</f>
        <v>13.950000000000001</v>
      </c>
      <c r="AC33" s="6">
        <v>0.87</v>
      </c>
      <c r="AD33" s="6">
        <v>0.27</v>
      </c>
      <c r="AE33" s="6">
        <v>0.21</v>
      </c>
      <c r="AF33" s="6">
        <v>0.69</v>
      </c>
      <c r="AG33" s="6">
        <v>0.14000000000000001</v>
      </c>
      <c r="AH33" s="6">
        <v>0.21</v>
      </c>
      <c r="AI33" s="6">
        <v>0.24</v>
      </c>
      <c r="AJ33" s="6">
        <v>0.3</v>
      </c>
    </row>
    <row r="34" spans="1:36" x14ac:dyDescent="0.2">
      <c r="A34" s="8">
        <v>31</v>
      </c>
      <c r="B34" s="6">
        <f>'Actual Values'!$B$3*'NOLH Designs (2)'!B35</f>
        <v>6203635.2000000002</v>
      </c>
      <c r="C34" s="6">
        <f>'Actual Values'!$B$5*'NOLH Designs (2)'!B35</f>
        <v>5442998.3999999994</v>
      </c>
      <c r="D34" s="6">
        <f>'Actual Values'!$B$7*'NOLH Designs (2)'!B35</f>
        <v>2856063</v>
      </c>
      <c r="E34" s="6">
        <f>'Actual Values'!$B$9*'NOLH Designs (2)'!B35</f>
        <v>2133266.94</v>
      </c>
      <c r="F34" s="12">
        <f>'Actual Values'!$C$3*'NOLH Designs (2)'!C35</f>
        <v>434073.60000000009</v>
      </c>
      <c r="G34" s="12">
        <f>'Actual Values'!$C$3-'ExpValues Eq'!F34</f>
        <v>771686.39999999991</v>
      </c>
      <c r="H34" s="12">
        <f>F34+'Actual Values'!$D$3</f>
        <v>657073.60000000009</v>
      </c>
      <c r="I34" s="12">
        <f>'Actual Values'!$C$5*'NOLH Designs (2)'!D35</f>
        <v>380851.20000000013</v>
      </c>
      <c r="J34" s="12">
        <f>'Actual Values'!$C$5-'ExpValues Eq'!I34</f>
        <v>677068.79999999981</v>
      </c>
      <c r="K34" s="12">
        <f>I34+'Actual Values'!$D$5</f>
        <v>638851.20000000019</v>
      </c>
      <c r="L34" s="12">
        <f>'Actual Values'!$C$7*'NOLH Designs (2)'!E35</f>
        <v>210943.31999999995</v>
      </c>
      <c r="M34" s="12">
        <f>'Actual Values'!$C$7-'ExpValues Eq'!L34</f>
        <v>344170.68000000005</v>
      </c>
      <c r="N34" s="12">
        <f>L34+'Actual Values'!$D$7</f>
        <v>384548.31999999995</v>
      </c>
      <c r="O34" s="12">
        <f>'Actual Values'!$C$9*'NOLH Designs (2)'!F35</f>
        <v>16585.160000000014</v>
      </c>
      <c r="P34" s="12">
        <f>'Actual Values'!$C$9-'ExpValues Eq'!O34</f>
        <v>398043.83999999997</v>
      </c>
      <c r="Q34" s="12">
        <f>O34+'Actual Values'!$D$9</f>
        <v>65560.160000000018</v>
      </c>
      <c r="R34" s="12">
        <f>'Actual Values'!$A$21*'NOLH Designs (2)'!S35</f>
        <v>74.42</v>
      </c>
      <c r="S34" s="12">
        <f>'Actual Values'!$B$21*'NOLH Designs (2)'!S35</f>
        <v>127.49</v>
      </c>
      <c r="T34" s="12">
        <f>'Actual Values'!$C$21*'NOLH Designs (2)'!S35</f>
        <v>75.03</v>
      </c>
      <c r="U34" s="12">
        <f>'Actual Values'!$A$25*'NOLH Designs (2)'!T35</f>
        <v>48</v>
      </c>
      <c r="V34" s="12">
        <f>'Actual Values'!$B$25*'NOLH Designs (2)'!T35</f>
        <v>78.08</v>
      </c>
      <c r="W34" s="12">
        <f>'Actual Values'!$A$13*'NOLH Designs (2)'!G35</f>
        <v>27.3</v>
      </c>
      <c r="X34" s="12">
        <f>'Actual Values'!$B$13*'NOLH Designs (2)'!H35</f>
        <v>37.799999999999997</v>
      </c>
      <c r="Y34" s="12">
        <f>'Actual Values'!$A$17*'NOLH Designs (2)'!Q35</f>
        <v>3.12</v>
      </c>
      <c r="Z34" s="12">
        <f>'Actual Values'!$B$17*'NOLH Designs (2)'!R35</f>
        <v>27.72</v>
      </c>
      <c r="AA34" s="12">
        <f>'Actual Values'!$C$17*'NOLH Designs (2)'!Q35</f>
        <v>1.56</v>
      </c>
      <c r="AB34" s="12">
        <f>'Actual Values'!$D$17*'NOLH Designs (2)'!R35</f>
        <v>12.6</v>
      </c>
      <c r="AC34" s="6">
        <v>0.6</v>
      </c>
      <c r="AD34" s="6">
        <v>0.14000000000000001</v>
      </c>
      <c r="AE34" s="6">
        <v>0.36</v>
      </c>
      <c r="AF34" s="6">
        <v>0.88</v>
      </c>
      <c r="AG34" s="6">
        <v>0.34</v>
      </c>
      <c r="AH34" s="6">
        <v>0.26</v>
      </c>
      <c r="AI34" s="6">
        <v>0.23</v>
      </c>
      <c r="AJ34" s="6">
        <v>0.21</v>
      </c>
    </row>
    <row r="35" spans="1:36" x14ac:dyDescent="0.2">
      <c r="A35" s="8">
        <v>32</v>
      </c>
      <c r="B35" s="6">
        <f>'Actual Values'!$B$3*'NOLH Designs (2)'!B36</f>
        <v>6456844.7999999998</v>
      </c>
      <c r="C35" s="6">
        <f>'Actual Values'!$B$5*'NOLH Designs (2)'!B36</f>
        <v>5665161.6000000006</v>
      </c>
      <c r="D35" s="6">
        <f>'Actual Values'!$B$7*'NOLH Designs (2)'!B36</f>
        <v>2972637</v>
      </c>
      <c r="E35" s="6">
        <f>'Actual Values'!$B$9*'NOLH Designs (2)'!B36</f>
        <v>2220339.06</v>
      </c>
      <c r="F35" s="12">
        <f>'Actual Values'!$C$3*'NOLH Designs (2)'!C36</f>
        <v>385843.20000000007</v>
      </c>
      <c r="G35" s="12">
        <f>'Actual Values'!$C$3-'ExpValues Eq'!F35</f>
        <v>819916.79999999993</v>
      </c>
      <c r="H35" s="12">
        <f>F35+'Actual Values'!$D$3</f>
        <v>608843.20000000007</v>
      </c>
      <c r="I35" s="12">
        <f>'Actual Values'!$C$5*'NOLH Designs (2)'!D36</f>
        <v>497222.39999999997</v>
      </c>
      <c r="J35" s="12">
        <f>'Actual Values'!$C$5-'ExpValues Eq'!I35</f>
        <v>560697.60000000009</v>
      </c>
      <c r="K35" s="12">
        <f>I35+'Actual Values'!$D$5</f>
        <v>755222.39999999991</v>
      </c>
      <c r="L35" s="12">
        <f>'Actual Values'!$C$7*'NOLH Designs (2)'!E36</f>
        <v>249801.3</v>
      </c>
      <c r="M35" s="12">
        <f>'Actual Values'!$C$7-'ExpValues Eq'!L35</f>
        <v>305312.7</v>
      </c>
      <c r="N35" s="12">
        <f>L35+'Actual Values'!$D$7</f>
        <v>423406.3</v>
      </c>
      <c r="O35" s="12">
        <f>'Actual Values'!$C$9*'NOLH Designs (2)'!F36</f>
        <v>29024.030000000024</v>
      </c>
      <c r="P35" s="12">
        <f>'Actual Values'!$C$9-'ExpValues Eq'!O35</f>
        <v>385604.97</v>
      </c>
      <c r="Q35" s="12">
        <f>O35+'Actual Values'!$D$9</f>
        <v>77999.030000000028</v>
      </c>
      <c r="R35" s="12">
        <f>'Actual Values'!$A$21*'NOLH Designs (2)'!S36</f>
        <v>57.339999999999996</v>
      </c>
      <c r="S35" s="12">
        <f>'Actual Values'!$B$21*'NOLH Designs (2)'!S36</f>
        <v>98.22999999999999</v>
      </c>
      <c r="T35" s="12">
        <f>'Actual Values'!$C$21*'NOLH Designs (2)'!S36</f>
        <v>57.809999999999995</v>
      </c>
      <c r="U35" s="12">
        <f>'Actual Values'!$A$25*'NOLH Designs (2)'!T36</f>
        <v>21.000000000000004</v>
      </c>
      <c r="V35" s="12">
        <f>'Actual Values'!$B$25*'NOLH Designs (2)'!T36</f>
        <v>34.160000000000004</v>
      </c>
      <c r="W35" s="12">
        <f>'Actual Values'!$A$13*'NOLH Designs (2)'!G36</f>
        <v>35.699999999999996</v>
      </c>
      <c r="X35" s="12">
        <f>'Actual Values'!$B$13*'NOLH Designs (2)'!H36</f>
        <v>67.8</v>
      </c>
      <c r="Y35" s="12">
        <f>'Actual Values'!$A$17*'NOLH Designs (2)'!Q36</f>
        <v>3.52</v>
      </c>
      <c r="Z35" s="12">
        <f>'Actual Values'!$B$17*'NOLH Designs (2)'!R36</f>
        <v>31.349999999999998</v>
      </c>
      <c r="AA35" s="12">
        <f>'Actual Values'!$C$17*'NOLH Designs (2)'!Q36</f>
        <v>1.76</v>
      </c>
      <c r="AB35" s="12">
        <f>'Actual Values'!$D$17*'NOLH Designs (2)'!R36</f>
        <v>14.25</v>
      </c>
      <c r="AC35" s="6">
        <v>0.83</v>
      </c>
      <c r="AD35" s="6">
        <v>0.33</v>
      </c>
      <c r="AE35" s="6">
        <v>0.11</v>
      </c>
      <c r="AF35" s="6">
        <v>0.82</v>
      </c>
      <c r="AG35" s="6">
        <v>0.31</v>
      </c>
      <c r="AH35" s="6">
        <v>0.3</v>
      </c>
      <c r="AI35" s="6">
        <v>0.24</v>
      </c>
      <c r="AJ35" s="6">
        <v>0.25</v>
      </c>
    </row>
    <row r="36" spans="1:36" x14ac:dyDescent="0.2">
      <c r="A36" s="8">
        <v>33</v>
      </c>
      <c r="B36" s="6">
        <f>'Actual Values'!$B$3*'NOLH Designs (2)'!B37</f>
        <v>5000889.6000000006</v>
      </c>
      <c r="C36" s="6">
        <f>'Actual Values'!$B$5*'NOLH Designs (2)'!B37</f>
        <v>4387723.2</v>
      </c>
      <c r="D36" s="6">
        <f>'Actual Values'!$B$7*'NOLH Designs (2)'!B37</f>
        <v>2302336.5</v>
      </c>
      <c r="E36" s="6">
        <f>'Actual Values'!$B$9*'NOLH Designs (2)'!B37</f>
        <v>1719674.37</v>
      </c>
      <c r="F36" s="12">
        <f>'Actual Values'!$C$3*'NOLH Designs (2)'!C37</f>
        <v>217036.79999999993</v>
      </c>
      <c r="G36" s="12">
        <f>'Actual Values'!$C$3-'ExpValues Eq'!F36</f>
        <v>988723.20000000007</v>
      </c>
      <c r="H36" s="12">
        <f>F36+'Actual Values'!$D$3</f>
        <v>440036.79999999993</v>
      </c>
      <c r="I36" s="12">
        <f>'Actual Values'!$C$5*'NOLH Designs (2)'!D37</f>
        <v>169267.19999999992</v>
      </c>
      <c r="J36" s="12">
        <f>'Actual Values'!$C$5-'ExpValues Eq'!I36</f>
        <v>888652.80000000005</v>
      </c>
      <c r="K36" s="12">
        <f>I36+'Actual Values'!$D$5</f>
        <v>427267.19999999995</v>
      </c>
      <c r="L36" s="12">
        <f>'Actual Values'!$C$7*'NOLH Designs (2)'!E37</f>
        <v>94369.379999999961</v>
      </c>
      <c r="M36" s="12">
        <f>'Actual Values'!$C$7-'ExpValues Eq'!L36</f>
        <v>460744.62000000005</v>
      </c>
      <c r="N36" s="12">
        <f>L36+'Actual Values'!$D$7</f>
        <v>267974.37999999995</v>
      </c>
      <c r="O36" s="12">
        <f>'Actual Values'!$C$9*'NOLH Designs (2)'!F37</f>
        <v>111949.83</v>
      </c>
      <c r="P36" s="12">
        <f>'Actual Values'!$C$9-'ExpValues Eq'!O36</f>
        <v>302679.17</v>
      </c>
      <c r="Q36" s="12">
        <f>O36+'Actual Values'!$D$9</f>
        <v>160924.83000000002</v>
      </c>
      <c r="R36" s="12">
        <f>'Actual Values'!$A$21*'NOLH Designs (2)'!S37</f>
        <v>67.100000000000009</v>
      </c>
      <c r="S36" s="12">
        <f>'Actual Values'!$B$21*'NOLH Designs (2)'!S37</f>
        <v>114.95</v>
      </c>
      <c r="T36" s="12">
        <f>'Actual Values'!$C$21*'NOLH Designs (2)'!S37</f>
        <v>67.650000000000006</v>
      </c>
      <c r="U36" s="12">
        <f>'Actual Values'!$A$25*'NOLH Designs (2)'!T37</f>
        <v>18.75</v>
      </c>
      <c r="V36" s="12">
        <f>'Actual Values'!$B$25*'NOLH Designs (2)'!T37</f>
        <v>30.5</v>
      </c>
      <c r="W36" s="12">
        <f>'Actual Values'!$A$13*'NOLH Designs (2)'!G37</f>
        <v>29.7</v>
      </c>
      <c r="X36" s="12">
        <f>'Actual Values'!$B$13*'NOLH Designs (2)'!H37</f>
        <v>79.800000000000011</v>
      </c>
      <c r="Y36" s="12">
        <f>'Actual Values'!$A$17*'NOLH Designs (2)'!Q37</f>
        <v>3.2</v>
      </c>
      <c r="Z36" s="12">
        <f>'Actual Values'!$B$17*'NOLH Designs (2)'!R37</f>
        <v>25.41</v>
      </c>
      <c r="AA36" s="12">
        <f>'Actual Values'!$C$17*'NOLH Designs (2)'!Q37</f>
        <v>1.6</v>
      </c>
      <c r="AB36" s="12">
        <f>'Actual Values'!$D$17*'NOLH Designs (2)'!R37</f>
        <v>11.55</v>
      </c>
      <c r="AC36" s="6">
        <v>0.77</v>
      </c>
      <c r="AD36" s="6">
        <v>0.37</v>
      </c>
      <c r="AE36" s="6">
        <v>0.25</v>
      </c>
      <c r="AF36" s="6">
        <v>0.87</v>
      </c>
      <c r="AG36" s="6">
        <v>0.32</v>
      </c>
      <c r="AH36" s="6">
        <v>0.27</v>
      </c>
      <c r="AI36" s="6">
        <v>0.27</v>
      </c>
      <c r="AJ36" s="6">
        <v>0.23</v>
      </c>
    </row>
    <row r="37" spans="1:36" x14ac:dyDescent="0.2">
      <c r="A37" s="8">
        <v>34</v>
      </c>
      <c r="B37" s="6">
        <f>'Actual Values'!$B$3*'NOLH Designs (2)'!B38</f>
        <v>7469683.1999999993</v>
      </c>
      <c r="C37" s="6">
        <f>'Actual Values'!$B$5*'NOLH Designs (2)'!B38</f>
        <v>6553814.3999999994</v>
      </c>
      <c r="D37" s="6">
        <f>'Actual Values'!$B$7*'NOLH Designs (2)'!B38</f>
        <v>3438933</v>
      </c>
      <c r="E37" s="6">
        <f>'Actual Values'!$B$9*'NOLH Designs (2)'!B38</f>
        <v>2568627.54</v>
      </c>
      <c r="F37" s="12">
        <f>'Actual Values'!$C$3*'NOLH Designs (2)'!C38</f>
        <v>289382.39999999997</v>
      </c>
      <c r="G37" s="12">
        <f>'Actual Values'!$C$3-'ExpValues Eq'!F37</f>
        <v>916377.60000000009</v>
      </c>
      <c r="H37" s="12">
        <f>F37+'Actual Values'!$D$3</f>
        <v>512382.39999999997</v>
      </c>
      <c r="I37" s="12">
        <f>'Actual Values'!$C$5*'NOLH Designs (2)'!D38</f>
        <v>74054.400000000067</v>
      </c>
      <c r="J37" s="12">
        <f>'Actual Values'!$C$5-'ExpValues Eq'!I37</f>
        <v>983865.6</v>
      </c>
      <c r="K37" s="12">
        <f>I37+'Actual Values'!$D$5</f>
        <v>332054.40000000008</v>
      </c>
      <c r="L37" s="12">
        <f>'Actual Values'!$C$7*'NOLH Designs (2)'!E38</f>
        <v>27755.700000000026</v>
      </c>
      <c r="M37" s="12">
        <f>'Actual Values'!$C$7-'ExpValues Eq'!L37</f>
        <v>527358.29999999993</v>
      </c>
      <c r="N37" s="12">
        <f>L37+'Actual Values'!$D$7</f>
        <v>201360.7</v>
      </c>
      <c r="O37" s="12">
        <f>'Actual Values'!$C$9*'NOLH Designs (2)'!F38</f>
        <v>111949.83</v>
      </c>
      <c r="P37" s="12">
        <f>'Actual Values'!$C$9-'ExpValues Eq'!O37</f>
        <v>302679.17</v>
      </c>
      <c r="Q37" s="12">
        <f>O37+'Actual Values'!$D$9</f>
        <v>160924.83000000002</v>
      </c>
      <c r="R37" s="12">
        <f>'Actual Values'!$A$21*'NOLH Designs (2)'!S38</f>
        <v>59.78</v>
      </c>
      <c r="S37" s="12">
        <f>'Actual Values'!$B$21*'NOLH Designs (2)'!S38</f>
        <v>102.41</v>
      </c>
      <c r="T37" s="12">
        <f>'Actual Values'!$C$21*'NOLH Designs (2)'!S38</f>
        <v>60.269999999999996</v>
      </c>
      <c r="U37" s="12">
        <f>'Actual Values'!$A$25*'NOLH Designs (2)'!T38</f>
        <v>39.75</v>
      </c>
      <c r="V37" s="12">
        <f>'Actual Values'!$B$25*'NOLH Designs (2)'!T38</f>
        <v>64.66</v>
      </c>
      <c r="W37" s="12">
        <f>'Actual Values'!$A$13*'NOLH Designs (2)'!G38</f>
        <v>27.6</v>
      </c>
      <c r="X37" s="12">
        <f>'Actual Values'!$B$13*'NOLH Designs (2)'!H38</f>
        <v>54</v>
      </c>
      <c r="Y37" s="12">
        <f>'Actual Values'!$A$17*'NOLH Designs (2)'!Q38</f>
        <v>3.36</v>
      </c>
      <c r="Z37" s="12">
        <f>'Actual Values'!$B$17*'NOLH Designs (2)'!R38</f>
        <v>29.04</v>
      </c>
      <c r="AA37" s="12">
        <f>'Actual Values'!$C$17*'NOLH Designs (2)'!Q38</f>
        <v>1.68</v>
      </c>
      <c r="AB37" s="12">
        <f>'Actual Values'!$D$17*'NOLH Designs (2)'!R38</f>
        <v>13.2</v>
      </c>
      <c r="AC37" s="6">
        <v>0.61</v>
      </c>
      <c r="AD37" s="6">
        <v>0.2</v>
      </c>
      <c r="AE37" s="6">
        <v>0.26</v>
      </c>
      <c r="AF37" s="6">
        <v>0.87</v>
      </c>
      <c r="AG37" s="6">
        <v>0.39</v>
      </c>
      <c r="AH37" s="6">
        <v>0.24</v>
      </c>
      <c r="AI37" s="6">
        <v>0.23</v>
      </c>
      <c r="AJ37" s="6">
        <v>0.27</v>
      </c>
    </row>
    <row r="38" spans="1:36" x14ac:dyDescent="0.2">
      <c r="A38" s="8">
        <v>35</v>
      </c>
      <c r="B38" s="6">
        <f>'Actual Values'!$B$3*'NOLH Designs (2)'!B39</f>
        <v>5887123.2000000002</v>
      </c>
      <c r="C38" s="6">
        <f>'Actual Values'!$B$5*'NOLH Designs (2)'!B39</f>
        <v>5165294.4000000004</v>
      </c>
      <c r="D38" s="6">
        <f>'Actual Values'!$B$7*'NOLH Designs (2)'!B39</f>
        <v>2710345.5</v>
      </c>
      <c r="E38" s="6">
        <f>'Actual Values'!$B$9*'NOLH Designs (2)'!B39</f>
        <v>2024426.79</v>
      </c>
      <c r="F38" s="12">
        <f>'Actual Values'!$C$3*'NOLH Designs (2)'!C39</f>
        <v>554649.59999999998</v>
      </c>
      <c r="G38" s="12">
        <f>'Actual Values'!$C$3-'ExpValues Eq'!F38</f>
        <v>651110.40000000002</v>
      </c>
      <c r="H38" s="12">
        <f>F38+'Actual Values'!$D$3</f>
        <v>777649.6</v>
      </c>
      <c r="I38" s="12">
        <f>'Actual Values'!$C$5*'NOLH Designs (2)'!D39</f>
        <v>31737.600000000028</v>
      </c>
      <c r="J38" s="12">
        <f>'Actual Values'!$C$5-'ExpValues Eq'!I38</f>
        <v>1026182.4</v>
      </c>
      <c r="K38" s="12">
        <f>I38+'Actual Values'!$D$5</f>
        <v>289737.60000000003</v>
      </c>
      <c r="L38" s="12">
        <f>'Actual Values'!$C$7*'NOLH Designs (2)'!E39</f>
        <v>116573.93999999997</v>
      </c>
      <c r="M38" s="12">
        <f>'Actual Values'!$C$7-'ExpValues Eq'!L38</f>
        <v>438540.06000000006</v>
      </c>
      <c r="N38" s="12">
        <f>L38+'Actual Values'!$D$7</f>
        <v>290178.93999999994</v>
      </c>
      <c r="O38" s="12">
        <f>'Actual Values'!$C$9*'NOLH Designs (2)'!F39</f>
        <v>149266.44000000003</v>
      </c>
      <c r="P38" s="12">
        <f>'Actual Values'!$C$9-'ExpValues Eq'!O38</f>
        <v>265362.55999999994</v>
      </c>
      <c r="Q38" s="12">
        <f>O38+'Actual Values'!$D$9</f>
        <v>198241.44000000003</v>
      </c>
      <c r="R38" s="12">
        <f>'Actual Values'!$A$21*'NOLH Designs (2)'!S39</f>
        <v>80.52000000000001</v>
      </c>
      <c r="S38" s="12">
        <f>'Actual Values'!$B$21*'NOLH Designs (2)'!S39</f>
        <v>137.94</v>
      </c>
      <c r="T38" s="12">
        <f>'Actual Values'!$C$21*'NOLH Designs (2)'!S39</f>
        <v>81.180000000000007</v>
      </c>
      <c r="U38" s="12">
        <f>'Actual Values'!$A$25*'NOLH Designs (2)'!T39</f>
        <v>33</v>
      </c>
      <c r="V38" s="12">
        <f>'Actual Values'!$B$25*'NOLH Designs (2)'!T39</f>
        <v>53.68</v>
      </c>
      <c r="W38" s="12">
        <f>'Actual Values'!$A$13*'NOLH Designs (2)'!G39</f>
        <v>21.599999999999998</v>
      </c>
      <c r="X38" s="12">
        <f>'Actual Values'!$B$13*'NOLH Designs (2)'!H39</f>
        <v>81</v>
      </c>
      <c r="Y38" s="12">
        <f>'Actual Values'!$A$17*'NOLH Designs (2)'!Q39</f>
        <v>3.28</v>
      </c>
      <c r="Z38" s="12">
        <f>'Actual Values'!$B$17*'NOLH Designs (2)'!R39</f>
        <v>30.03</v>
      </c>
      <c r="AA38" s="12">
        <f>'Actual Values'!$C$17*'NOLH Designs (2)'!Q39</f>
        <v>1.64</v>
      </c>
      <c r="AB38" s="12">
        <f>'Actual Values'!$D$17*'NOLH Designs (2)'!R39</f>
        <v>13.65</v>
      </c>
      <c r="AC38" s="6">
        <v>0.85</v>
      </c>
      <c r="AD38" s="6">
        <v>0.26</v>
      </c>
      <c r="AE38" s="6">
        <v>0.22</v>
      </c>
      <c r="AF38" s="6">
        <v>0.67</v>
      </c>
      <c r="AG38" s="6">
        <v>0.2</v>
      </c>
      <c r="AH38" s="6">
        <v>0.14000000000000001</v>
      </c>
      <c r="AI38" s="6">
        <v>0.23</v>
      </c>
      <c r="AJ38" s="6">
        <v>0.22</v>
      </c>
    </row>
    <row r="39" spans="1:36" x14ac:dyDescent="0.2">
      <c r="A39" s="8">
        <v>36</v>
      </c>
      <c r="B39" s="6">
        <f>'Actual Values'!$B$3*'NOLH Designs (2)'!B40</f>
        <v>6393542.4000000004</v>
      </c>
      <c r="C39" s="6">
        <f>'Actual Values'!$B$5*'NOLH Designs (2)'!B40</f>
        <v>5609620.7999999998</v>
      </c>
      <c r="D39" s="6">
        <f>'Actual Values'!$B$7*'NOLH Designs (2)'!B40</f>
        <v>2943493.5</v>
      </c>
      <c r="E39" s="6">
        <f>'Actual Values'!$B$9*'NOLH Designs (2)'!B40</f>
        <v>2198571.0299999998</v>
      </c>
      <c r="F39" s="12">
        <f>'Actual Values'!$C$3*'NOLH Designs (2)'!C40</f>
        <v>518476.79999999993</v>
      </c>
      <c r="G39" s="12">
        <f>'Actual Values'!$C$3-'ExpValues Eq'!F39</f>
        <v>687283.20000000007</v>
      </c>
      <c r="H39" s="12">
        <f>F39+'Actual Values'!$D$3</f>
        <v>741476.79999999993</v>
      </c>
      <c r="I39" s="12">
        <f>'Actual Values'!$C$5*'NOLH Designs (2)'!D40</f>
        <v>84633.600000000079</v>
      </c>
      <c r="J39" s="12">
        <f>'Actual Values'!$C$5-'ExpValues Eq'!I39</f>
        <v>973286.39999999991</v>
      </c>
      <c r="K39" s="12">
        <f>I39+'Actual Values'!$D$5</f>
        <v>342633.60000000009</v>
      </c>
      <c r="L39" s="12">
        <f>'Actual Values'!$C$7*'NOLH Designs (2)'!E40</f>
        <v>122125.07999999999</v>
      </c>
      <c r="M39" s="12">
        <f>'Actual Values'!$C$7-'ExpValues Eq'!L39</f>
        <v>432988.92000000004</v>
      </c>
      <c r="N39" s="12">
        <f>L39+'Actual Values'!$D$7</f>
        <v>295730.07999999996</v>
      </c>
      <c r="O39" s="12">
        <f>'Actual Values'!$C$9*'NOLH Designs (2)'!F40</f>
        <v>132681.28000000003</v>
      </c>
      <c r="P39" s="12">
        <f>'Actual Values'!$C$9-'ExpValues Eq'!O39</f>
        <v>281947.71999999997</v>
      </c>
      <c r="Q39" s="12">
        <f>O39+'Actual Values'!$D$9</f>
        <v>181656.28000000003</v>
      </c>
      <c r="R39" s="12">
        <f>'Actual Values'!$A$21*'NOLH Designs (2)'!S40</f>
        <v>85.399999999999991</v>
      </c>
      <c r="S39" s="12">
        <f>'Actual Values'!$B$21*'NOLH Designs (2)'!S40</f>
        <v>146.29999999999998</v>
      </c>
      <c r="T39" s="12">
        <f>'Actual Values'!$C$21*'NOLH Designs (2)'!S40</f>
        <v>86.1</v>
      </c>
      <c r="U39" s="12">
        <f>'Actual Values'!$A$25*'NOLH Designs (2)'!T40</f>
        <v>24.75</v>
      </c>
      <c r="V39" s="12">
        <f>'Actual Values'!$B$25*'NOLH Designs (2)'!T40</f>
        <v>40.260000000000005</v>
      </c>
      <c r="W39" s="12">
        <f>'Actual Values'!$A$13*'NOLH Designs (2)'!G40</f>
        <v>40.800000000000004</v>
      </c>
      <c r="X39" s="12">
        <f>'Actual Values'!$B$13*'NOLH Designs (2)'!H40</f>
        <v>41.4</v>
      </c>
      <c r="Y39" s="12">
        <f>'Actual Values'!$A$17*'NOLH Designs (2)'!Q40</f>
        <v>3.68</v>
      </c>
      <c r="Z39" s="12">
        <f>'Actual Values'!$B$17*'NOLH Designs (2)'!R40</f>
        <v>31.68</v>
      </c>
      <c r="AA39" s="12">
        <f>'Actual Values'!$C$17*'NOLH Designs (2)'!Q40</f>
        <v>1.84</v>
      </c>
      <c r="AB39" s="12">
        <f>'Actual Values'!$D$17*'NOLH Designs (2)'!R40</f>
        <v>14.399999999999999</v>
      </c>
      <c r="AC39" s="6">
        <v>0.64</v>
      </c>
      <c r="AD39" s="6">
        <v>0.22</v>
      </c>
      <c r="AE39" s="6">
        <v>0.34</v>
      </c>
      <c r="AF39" s="6">
        <v>0.68</v>
      </c>
      <c r="AG39" s="6">
        <v>0.14000000000000001</v>
      </c>
      <c r="AH39" s="6">
        <v>0.16</v>
      </c>
      <c r="AI39" s="6">
        <v>0.22</v>
      </c>
      <c r="AJ39" s="6">
        <v>0.24</v>
      </c>
    </row>
    <row r="40" spans="1:36" x14ac:dyDescent="0.2">
      <c r="A40" s="8">
        <v>37</v>
      </c>
      <c r="B40" s="6">
        <f>'Actual Values'!$B$3*'NOLH Designs (2)'!B41</f>
        <v>4937587.2</v>
      </c>
      <c r="C40" s="6">
        <f>'Actual Values'!$B$5*'NOLH Designs (2)'!B41</f>
        <v>4332182.4000000004</v>
      </c>
      <c r="D40" s="6">
        <f>'Actual Values'!$B$7*'NOLH Designs (2)'!B41</f>
        <v>2273193</v>
      </c>
      <c r="E40" s="6">
        <f>'Actual Values'!$B$9*'NOLH Designs (2)'!B41</f>
        <v>1697906.34</v>
      </c>
      <c r="F40" s="12">
        <f>'Actual Values'!$C$3*'NOLH Designs (2)'!C41</f>
        <v>192921.59999999989</v>
      </c>
      <c r="G40" s="12">
        <f>'Actual Values'!$C$3-'ExpValues Eq'!F40</f>
        <v>1012838.4000000001</v>
      </c>
      <c r="H40" s="12">
        <f>F40+'Actual Values'!$D$3</f>
        <v>415921.59999999986</v>
      </c>
      <c r="I40" s="12">
        <f>'Actual Values'!$C$5*'NOLH Designs (2)'!D41</f>
        <v>338534.40000000008</v>
      </c>
      <c r="J40" s="12">
        <f>'Actual Values'!$C$5-'ExpValues Eq'!I40</f>
        <v>719385.59999999986</v>
      </c>
      <c r="K40" s="12">
        <f>I40+'Actual Values'!$D$5</f>
        <v>596534.40000000014</v>
      </c>
      <c r="L40" s="12">
        <f>'Actual Values'!$C$7*'NOLH Designs (2)'!E41</f>
        <v>27755.700000000026</v>
      </c>
      <c r="M40" s="12">
        <f>'Actual Values'!$C$7-'ExpValues Eq'!L40</f>
        <v>527358.29999999993</v>
      </c>
      <c r="N40" s="12">
        <f>L40+'Actual Values'!$D$7</f>
        <v>201360.7</v>
      </c>
      <c r="O40" s="12">
        <f>'Actual Values'!$C$9*'NOLH Designs (2)'!F41</f>
        <v>157559.01999999996</v>
      </c>
      <c r="P40" s="12">
        <f>'Actual Values'!$C$9-'ExpValues Eq'!O40</f>
        <v>257069.98000000004</v>
      </c>
      <c r="Q40" s="12">
        <f>O40+'Actual Values'!$D$9</f>
        <v>206534.01999999996</v>
      </c>
      <c r="R40" s="12">
        <f>'Actual Values'!$A$21*'NOLH Designs (2)'!S41</f>
        <v>36.6</v>
      </c>
      <c r="S40" s="12">
        <f>'Actual Values'!$B$21*'NOLH Designs (2)'!S41</f>
        <v>62.699999999999996</v>
      </c>
      <c r="T40" s="12">
        <f>'Actual Values'!$C$21*'NOLH Designs (2)'!S41</f>
        <v>36.9</v>
      </c>
      <c r="U40" s="12">
        <f>'Actual Values'!$A$25*'NOLH Designs (2)'!T41</f>
        <v>42.749999999999993</v>
      </c>
      <c r="V40" s="12">
        <f>'Actual Values'!$B$25*'NOLH Designs (2)'!T41</f>
        <v>69.539999999999992</v>
      </c>
      <c r="W40" s="12">
        <f>'Actual Values'!$A$13*'NOLH Designs (2)'!G41</f>
        <v>38.1</v>
      </c>
      <c r="X40" s="12">
        <f>'Actual Values'!$B$13*'NOLH Designs (2)'!H41</f>
        <v>58.8</v>
      </c>
      <c r="Y40" s="12">
        <f>'Actual Values'!$A$17*'NOLH Designs (2)'!Q41</f>
        <v>4.04</v>
      </c>
      <c r="Z40" s="12">
        <f>'Actual Values'!$B$17*'NOLH Designs (2)'!R41</f>
        <v>29.7</v>
      </c>
      <c r="AA40" s="12">
        <f>'Actual Values'!$C$17*'NOLH Designs (2)'!Q41</f>
        <v>2.02</v>
      </c>
      <c r="AB40" s="12">
        <f>'Actual Values'!$D$17*'NOLH Designs (2)'!R41</f>
        <v>13.5</v>
      </c>
      <c r="AC40" s="6">
        <v>0.8</v>
      </c>
      <c r="AD40" s="6">
        <v>0.28000000000000003</v>
      </c>
      <c r="AE40" s="6">
        <v>0.1</v>
      </c>
      <c r="AF40" s="6">
        <v>0.67</v>
      </c>
      <c r="AG40" s="6">
        <v>0.33</v>
      </c>
      <c r="AH40" s="6">
        <v>0.32</v>
      </c>
      <c r="AI40" s="6">
        <v>0.15</v>
      </c>
      <c r="AJ40" s="6">
        <v>0.19</v>
      </c>
    </row>
    <row r="41" spans="1:36" x14ac:dyDescent="0.2">
      <c r="A41" s="8">
        <v>38</v>
      </c>
      <c r="B41" s="6">
        <f>'Actual Values'!$B$3*'NOLH Designs (2)'!B42</f>
        <v>7406380.7999999998</v>
      </c>
      <c r="C41" s="6">
        <f>'Actual Values'!$B$5*'NOLH Designs (2)'!B42</f>
        <v>6498273.5999999996</v>
      </c>
      <c r="D41" s="6">
        <f>'Actual Values'!$B$7*'NOLH Designs (2)'!B42</f>
        <v>3409789.5</v>
      </c>
      <c r="E41" s="6">
        <f>'Actual Values'!$B$9*'NOLH Designs (2)'!B42</f>
        <v>2546859.5099999998</v>
      </c>
      <c r="F41" s="12">
        <f>'Actual Values'!$C$3*'NOLH Designs (2)'!C42</f>
        <v>84403.20000000007</v>
      </c>
      <c r="G41" s="12">
        <f>'Actual Values'!$C$3-'ExpValues Eq'!F41</f>
        <v>1121356.7999999998</v>
      </c>
      <c r="H41" s="12">
        <f>F41+'Actual Values'!$D$3</f>
        <v>307403.20000000007</v>
      </c>
      <c r="I41" s="12">
        <f>'Actual Values'!$C$5*'NOLH Designs (2)'!D42</f>
        <v>275059.20000000001</v>
      </c>
      <c r="J41" s="12">
        <f>'Actual Values'!$C$5-'ExpValues Eq'!I41</f>
        <v>782860.80000000005</v>
      </c>
      <c r="K41" s="12">
        <f>I41+'Actual Values'!$D$5</f>
        <v>533059.19999999995</v>
      </c>
      <c r="L41" s="12">
        <f>'Actual Values'!$C$7*'NOLH Designs (2)'!E42</f>
        <v>111022.79999999997</v>
      </c>
      <c r="M41" s="12">
        <f>'Actual Values'!$C$7-'ExpValues Eq'!L41</f>
        <v>444091.2</v>
      </c>
      <c r="N41" s="12">
        <f>L41+'Actual Values'!$D$7</f>
        <v>284627.8</v>
      </c>
      <c r="O41" s="12">
        <f>'Actual Values'!$C$9*'NOLH Designs (2)'!F42</f>
        <v>207314.5</v>
      </c>
      <c r="P41" s="12">
        <f>'Actual Values'!$C$9-'ExpValues Eq'!O41</f>
        <v>207314.5</v>
      </c>
      <c r="Q41" s="12">
        <f>O41+'Actual Values'!$D$9</f>
        <v>256289.5</v>
      </c>
      <c r="R41" s="12">
        <f>'Actual Values'!$A$21*'NOLH Designs (2)'!S42</f>
        <v>52.46</v>
      </c>
      <c r="S41" s="12">
        <f>'Actual Values'!$B$21*'NOLH Designs (2)'!S42</f>
        <v>89.87</v>
      </c>
      <c r="T41" s="12">
        <f>'Actual Values'!$C$21*'NOLH Designs (2)'!S42</f>
        <v>52.89</v>
      </c>
      <c r="U41" s="12">
        <f>'Actual Values'!$A$25*'NOLH Designs (2)'!T42</f>
        <v>36.75</v>
      </c>
      <c r="V41" s="12">
        <f>'Actual Values'!$B$25*'NOLH Designs (2)'!T42</f>
        <v>59.78</v>
      </c>
      <c r="W41" s="12">
        <f>'Actual Values'!$A$13*'NOLH Designs (2)'!G42</f>
        <v>25.2</v>
      </c>
      <c r="X41" s="12">
        <f>'Actual Values'!$B$13*'NOLH Designs (2)'!H42</f>
        <v>64.800000000000011</v>
      </c>
      <c r="Y41" s="12">
        <f>'Actual Values'!$A$17*'NOLH Designs (2)'!Q42</f>
        <v>4.28</v>
      </c>
      <c r="Z41" s="12">
        <f>'Actual Values'!$B$17*'NOLH Designs (2)'!R42</f>
        <v>24.75</v>
      </c>
      <c r="AA41" s="12">
        <f>'Actual Values'!$C$17*'NOLH Designs (2)'!Q42</f>
        <v>2.14</v>
      </c>
      <c r="AB41" s="12">
        <f>'Actual Values'!$D$17*'NOLH Designs (2)'!R42</f>
        <v>11.25</v>
      </c>
      <c r="AC41" s="6">
        <v>0.78</v>
      </c>
      <c r="AD41" s="6">
        <v>0.12</v>
      </c>
      <c r="AE41" s="6">
        <v>0.33</v>
      </c>
      <c r="AF41" s="6">
        <v>0.64</v>
      </c>
      <c r="AG41" s="6">
        <v>0.32</v>
      </c>
      <c r="AH41" s="6">
        <v>0.36</v>
      </c>
      <c r="AI41" s="6">
        <v>0.14000000000000001</v>
      </c>
      <c r="AJ41" s="6">
        <v>0.17</v>
      </c>
    </row>
    <row r="42" spans="1:36" x14ac:dyDescent="0.2">
      <c r="A42" s="8">
        <v>39</v>
      </c>
      <c r="B42" s="6">
        <f>'Actual Values'!$B$3*'NOLH Designs (2)'!B43</f>
        <v>5760518.4000000004</v>
      </c>
      <c r="C42" s="6">
        <f>'Actual Values'!$B$5*'NOLH Designs (2)'!B43</f>
        <v>5054212.8</v>
      </c>
      <c r="D42" s="6">
        <f>'Actual Values'!$B$7*'NOLH Designs (2)'!B43</f>
        <v>2652058.5</v>
      </c>
      <c r="E42" s="6">
        <f>'Actual Values'!$B$9*'NOLH Designs (2)'!B43</f>
        <v>1980890.73</v>
      </c>
      <c r="F42" s="12">
        <f>'Actual Values'!$C$3*'NOLH Designs (2)'!C43</f>
        <v>566707.19999999995</v>
      </c>
      <c r="G42" s="12">
        <f>'Actual Values'!$C$3-'ExpValues Eq'!F42</f>
        <v>639052.80000000005</v>
      </c>
      <c r="H42" s="12">
        <f>F42+'Actual Values'!$D$3</f>
        <v>789707.2</v>
      </c>
      <c r="I42" s="12">
        <f>'Actual Values'!$C$5*'NOLH Designs (2)'!D43</f>
        <v>486643.19999999995</v>
      </c>
      <c r="J42" s="12">
        <f>'Actual Values'!$C$5-'ExpValues Eq'!I42</f>
        <v>571276.80000000005</v>
      </c>
      <c r="K42" s="12">
        <f>I42+'Actual Values'!$D$5</f>
        <v>744643.2</v>
      </c>
      <c r="L42" s="12">
        <f>'Actual Values'!$C$7*'NOLH Designs (2)'!E43</f>
        <v>44409.120000000039</v>
      </c>
      <c r="M42" s="12">
        <f>'Actual Values'!$C$7-'ExpValues Eq'!L42</f>
        <v>510704.87999999995</v>
      </c>
      <c r="N42" s="12">
        <f>L42+'Actual Values'!$D$7</f>
        <v>218014.12000000005</v>
      </c>
      <c r="O42" s="12">
        <f>'Actual Values'!$C$9*'NOLH Designs (2)'!F43</f>
        <v>149266.44000000003</v>
      </c>
      <c r="P42" s="12">
        <f>'Actual Values'!$C$9-'ExpValues Eq'!O42</f>
        <v>265362.55999999994</v>
      </c>
      <c r="Q42" s="12">
        <f>O42+'Actual Values'!$D$9</f>
        <v>198241.44000000003</v>
      </c>
      <c r="R42" s="12">
        <f>'Actual Values'!$A$21*'NOLH Designs (2)'!S43</f>
        <v>119.56</v>
      </c>
      <c r="S42" s="12">
        <f>'Actual Values'!$B$21*'NOLH Designs (2)'!S43</f>
        <v>204.82</v>
      </c>
      <c r="T42" s="12">
        <f>'Actual Values'!$C$21*'NOLH Designs (2)'!S43</f>
        <v>120.53999999999999</v>
      </c>
      <c r="U42" s="12">
        <f>'Actual Values'!$A$25*'NOLH Designs (2)'!T43</f>
        <v>33</v>
      </c>
      <c r="V42" s="12">
        <f>'Actual Values'!$B$25*'NOLH Designs (2)'!T43</f>
        <v>53.68</v>
      </c>
      <c r="W42" s="12">
        <f>'Actual Values'!$A$13*'NOLH Designs (2)'!G43</f>
        <v>19.2</v>
      </c>
      <c r="X42" s="12">
        <f>'Actual Values'!$B$13*'NOLH Designs (2)'!H43</f>
        <v>46.800000000000004</v>
      </c>
      <c r="Y42" s="12">
        <f>'Actual Values'!$A$17*'NOLH Designs (2)'!Q43</f>
        <v>4.16</v>
      </c>
      <c r="Z42" s="12">
        <f>'Actual Values'!$B$17*'NOLH Designs (2)'!R43</f>
        <v>32.339999999999996</v>
      </c>
      <c r="AA42" s="12">
        <f>'Actual Values'!$C$17*'NOLH Designs (2)'!Q43</f>
        <v>2.08</v>
      </c>
      <c r="AB42" s="12">
        <f>'Actual Values'!$D$17*'NOLH Designs (2)'!R43</f>
        <v>14.7</v>
      </c>
      <c r="AC42" s="6">
        <v>0.86</v>
      </c>
      <c r="AD42" s="6">
        <v>0.3</v>
      </c>
      <c r="AE42" s="6">
        <v>0.13</v>
      </c>
      <c r="AF42" s="6">
        <v>0.78</v>
      </c>
      <c r="AG42" s="6">
        <v>0.22</v>
      </c>
      <c r="AH42" s="6">
        <v>0.23</v>
      </c>
      <c r="AI42" s="6">
        <v>0.19</v>
      </c>
      <c r="AJ42" s="6">
        <v>0.13</v>
      </c>
    </row>
    <row r="43" spans="1:36" x14ac:dyDescent="0.2">
      <c r="A43" s="8">
        <v>40</v>
      </c>
      <c r="B43" s="6">
        <f>'Actual Values'!$B$3*'NOLH Designs (2)'!B44</f>
        <v>7469683.1999999993</v>
      </c>
      <c r="C43" s="6">
        <f>'Actual Values'!$B$5*'NOLH Designs (2)'!B44</f>
        <v>6553814.3999999994</v>
      </c>
      <c r="D43" s="6">
        <f>'Actual Values'!$B$7*'NOLH Designs (2)'!B44</f>
        <v>3438933</v>
      </c>
      <c r="E43" s="6">
        <f>'Actual Values'!$B$9*'NOLH Designs (2)'!B44</f>
        <v>2568627.54</v>
      </c>
      <c r="F43" s="12">
        <f>'Actual Values'!$C$3*'NOLH Designs (2)'!C44</f>
        <v>506419.1999999999</v>
      </c>
      <c r="G43" s="12">
        <f>'Actual Values'!$C$3-'ExpValues Eq'!F43</f>
        <v>699340.80000000005</v>
      </c>
      <c r="H43" s="12">
        <f>F43+'Actual Values'!$D$3</f>
        <v>729419.2</v>
      </c>
      <c r="I43" s="12">
        <f>'Actual Values'!$C$5*'NOLH Designs (2)'!D44</f>
        <v>454905.59999999992</v>
      </c>
      <c r="J43" s="12">
        <f>'Actual Values'!$C$5-'ExpValues Eq'!I43</f>
        <v>603014.40000000014</v>
      </c>
      <c r="K43" s="12">
        <f>I43+'Actual Values'!$D$5</f>
        <v>712905.59999999986</v>
      </c>
      <c r="L43" s="12">
        <f>'Actual Values'!$C$7*'NOLH Designs (2)'!E44</f>
        <v>94369.379999999961</v>
      </c>
      <c r="M43" s="12">
        <f>'Actual Values'!$C$7-'ExpValues Eq'!L43</f>
        <v>460744.62000000005</v>
      </c>
      <c r="N43" s="12">
        <f>L43+'Actual Values'!$D$7</f>
        <v>267974.37999999995</v>
      </c>
      <c r="O43" s="12">
        <f>'Actual Values'!$C$9*'NOLH Designs (2)'!F44</f>
        <v>194875.62999999998</v>
      </c>
      <c r="P43" s="12">
        <f>'Actual Values'!$C$9-'ExpValues Eq'!O43</f>
        <v>219753.37000000002</v>
      </c>
      <c r="Q43" s="12">
        <f>O43+'Actual Values'!$D$9</f>
        <v>243850.62999999998</v>
      </c>
      <c r="R43" s="12">
        <f>'Actual Values'!$A$21*'NOLH Designs (2)'!S44</f>
        <v>95.16</v>
      </c>
      <c r="S43" s="12">
        <f>'Actual Values'!$B$21*'NOLH Designs (2)'!S44</f>
        <v>163.02000000000001</v>
      </c>
      <c r="T43" s="12">
        <f>'Actual Values'!$C$21*'NOLH Designs (2)'!S44</f>
        <v>95.94</v>
      </c>
      <c r="U43" s="12">
        <f>'Actual Values'!$A$25*'NOLH Designs (2)'!T44</f>
        <v>38.25</v>
      </c>
      <c r="V43" s="12">
        <f>'Actual Values'!$B$25*'NOLH Designs (2)'!T44</f>
        <v>62.22</v>
      </c>
      <c r="W43" s="12">
        <f>'Actual Values'!$A$13*'NOLH Designs (2)'!G44</f>
        <v>38.700000000000003</v>
      </c>
      <c r="X43" s="12">
        <f>'Actual Values'!$B$13*'NOLH Designs (2)'!H44</f>
        <v>83.399999999999991</v>
      </c>
      <c r="Y43" s="12">
        <f>'Actual Values'!$A$17*'NOLH Designs (2)'!Q44</f>
        <v>4.2</v>
      </c>
      <c r="Z43" s="12">
        <f>'Actual Values'!$B$17*'NOLH Designs (2)'!R44</f>
        <v>28.38</v>
      </c>
      <c r="AA43" s="12">
        <f>'Actual Values'!$C$17*'NOLH Designs (2)'!Q44</f>
        <v>2.1</v>
      </c>
      <c r="AB43" s="12">
        <f>'Actual Values'!$D$17*'NOLH Designs (2)'!R44</f>
        <v>12.9</v>
      </c>
      <c r="AC43" s="6">
        <v>0.71</v>
      </c>
      <c r="AD43" s="6">
        <v>0.15</v>
      </c>
      <c r="AE43" s="6">
        <v>0.33</v>
      </c>
      <c r="AF43" s="6">
        <v>0.8</v>
      </c>
      <c r="AG43" s="6">
        <v>0.26</v>
      </c>
      <c r="AH43" s="6">
        <v>0.14000000000000001</v>
      </c>
      <c r="AI43" s="6">
        <v>0.14000000000000001</v>
      </c>
      <c r="AJ43" s="6">
        <v>0.13</v>
      </c>
    </row>
    <row r="44" spans="1:36" x14ac:dyDescent="0.2">
      <c r="A44" s="8">
        <v>41</v>
      </c>
      <c r="B44" s="6">
        <f>'Actual Values'!$B$3*'NOLH Designs (2)'!B45</f>
        <v>5760518.4000000004</v>
      </c>
      <c r="C44" s="6">
        <f>'Actual Values'!$B$5*'NOLH Designs (2)'!B45</f>
        <v>5054212.8</v>
      </c>
      <c r="D44" s="6">
        <f>'Actual Values'!$B$7*'NOLH Designs (2)'!B45</f>
        <v>2652058.5</v>
      </c>
      <c r="E44" s="6">
        <f>'Actual Values'!$B$9*'NOLH Designs (2)'!B45</f>
        <v>1980890.73</v>
      </c>
      <c r="F44" s="12">
        <f>'Actual Values'!$C$3*'NOLH Designs (2)'!C45</f>
        <v>301440</v>
      </c>
      <c r="G44" s="12">
        <f>'Actual Values'!$C$3-'ExpValues Eq'!F44</f>
        <v>904320</v>
      </c>
      <c r="H44" s="12">
        <f>F44+'Actual Values'!$D$3</f>
        <v>524440</v>
      </c>
      <c r="I44" s="12">
        <f>'Actual Values'!$C$5*'NOLH Designs (2)'!D45</f>
        <v>21158.40000000002</v>
      </c>
      <c r="J44" s="12">
        <f>'Actual Values'!$C$5-'ExpValues Eq'!I44</f>
        <v>1036761.6</v>
      </c>
      <c r="K44" s="12">
        <f>I44+'Actual Values'!$D$5</f>
        <v>279158.40000000002</v>
      </c>
      <c r="L44" s="12">
        <f>'Actual Values'!$C$7*'NOLH Designs (2)'!E45</f>
        <v>55511.400000000052</v>
      </c>
      <c r="M44" s="12">
        <f>'Actual Values'!$C$7-'ExpValues Eq'!L44</f>
        <v>499602.6</v>
      </c>
      <c r="N44" s="12">
        <f>L44+'Actual Values'!$D$7</f>
        <v>229116.40000000005</v>
      </c>
      <c r="O44" s="12">
        <f>'Actual Values'!$C$9*'NOLH Designs (2)'!F45</f>
        <v>165851.59999999998</v>
      </c>
      <c r="P44" s="12">
        <f>'Actual Values'!$C$9-'ExpValues Eq'!O44</f>
        <v>248777.40000000002</v>
      </c>
      <c r="Q44" s="12">
        <f>O44+'Actual Values'!$D$9</f>
        <v>214826.59999999998</v>
      </c>
      <c r="R44" s="12">
        <f>'Actual Values'!$A$21*'NOLH Designs (2)'!S45</f>
        <v>81.740000000000009</v>
      </c>
      <c r="S44" s="12">
        <f>'Actual Values'!$B$21*'NOLH Designs (2)'!S45</f>
        <v>140.03</v>
      </c>
      <c r="T44" s="12">
        <f>'Actual Values'!$C$21*'NOLH Designs (2)'!S45</f>
        <v>82.410000000000011</v>
      </c>
      <c r="U44" s="12">
        <f>'Actual Values'!$A$25*'NOLH Designs (2)'!T45</f>
        <v>71.25</v>
      </c>
      <c r="V44" s="12">
        <f>'Actual Values'!$B$25*'NOLH Designs (2)'!T45</f>
        <v>115.89999999999999</v>
      </c>
      <c r="W44" s="12">
        <f>'Actual Values'!$A$13*'NOLH Designs (2)'!G45</f>
        <v>34.199999999999996</v>
      </c>
      <c r="X44" s="12">
        <f>'Actual Values'!$B$13*'NOLH Designs (2)'!H45</f>
        <v>62.400000000000006</v>
      </c>
      <c r="Y44" s="12">
        <f>'Actual Values'!$A$17*'NOLH Designs (2)'!Q45</f>
        <v>3</v>
      </c>
      <c r="Z44" s="12">
        <f>'Actual Values'!$B$17*'NOLH Designs (2)'!R45</f>
        <v>25.740000000000002</v>
      </c>
      <c r="AA44" s="12">
        <f>'Actual Values'!$C$17*'NOLH Designs (2)'!Q45</f>
        <v>1.5</v>
      </c>
      <c r="AB44" s="12">
        <f>'Actual Values'!$D$17*'NOLH Designs (2)'!R45</f>
        <v>11.700000000000001</v>
      </c>
      <c r="AC44" s="6">
        <v>0.63</v>
      </c>
      <c r="AD44" s="6">
        <v>0.36</v>
      </c>
      <c r="AE44" s="6">
        <v>0.17</v>
      </c>
      <c r="AF44" s="6">
        <v>0.86</v>
      </c>
      <c r="AG44" s="6">
        <v>0.12</v>
      </c>
      <c r="AH44" s="6">
        <v>0.38</v>
      </c>
      <c r="AI44" s="6">
        <v>0.14000000000000001</v>
      </c>
      <c r="AJ44" s="6">
        <v>0.26</v>
      </c>
    </row>
    <row r="45" spans="1:36" x14ac:dyDescent="0.2">
      <c r="A45" s="8">
        <v>42</v>
      </c>
      <c r="B45" s="6">
        <f>'Actual Values'!$B$3*'NOLH Designs (2)'!B46</f>
        <v>7343078.3999999994</v>
      </c>
      <c r="C45" s="6">
        <f>'Actual Values'!$B$5*'NOLH Designs (2)'!B46</f>
        <v>6442732.7999999998</v>
      </c>
      <c r="D45" s="6">
        <f>'Actual Values'!$B$7*'NOLH Designs (2)'!B46</f>
        <v>3380645.9999999995</v>
      </c>
      <c r="E45" s="6">
        <f>'Actual Values'!$B$9*'NOLH Designs (2)'!B46</f>
        <v>2525091.48</v>
      </c>
      <c r="F45" s="12">
        <f>'Actual Values'!$C$3*'NOLH Designs (2)'!C46</f>
        <v>229094.39999999994</v>
      </c>
      <c r="G45" s="12">
        <f>'Actual Values'!$C$3-'ExpValues Eq'!F45</f>
        <v>976665.60000000009</v>
      </c>
      <c r="H45" s="12">
        <f>F45+'Actual Values'!$D$3</f>
        <v>452094.39999999991</v>
      </c>
      <c r="I45" s="12">
        <f>'Actual Values'!$C$5*'NOLH Designs (2)'!D46</f>
        <v>222163.19999999995</v>
      </c>
      <c r="J45" s="12">
        <f>'Actual Values'!$C$5-'ExpValues Eq'!I45</f>
        <v>835756.8</v>
      </c>
      <c r="K45" s="12">
        <f>I45+'Actual Values'!$D$5</f>
        <v>480163.19999999995</v>
      </c>
      <c r="L45" s="12">
        <f>'Actual Values'!$C$7*'NOLH Designs (2)'!E46</f>
        <v>33306.840000000033</v>
      </c>
      <c r="M45" s="12">
        <f>'Actual Values'!$C$7-'ExpValues Eq'!L45</f>
        <v>521807.16</v>
      </c>
      <c r="N45" s="12">
        <f>L45+'Actual Values'!$D$7</f>
        <v>206911.84000000003</v>
      </c>
      <c r="O45" s="12">
        <f>'Actual Values'!$C$9*'NOLH Designs (2)'!F46</f>
        <v>153412.73000000004</v>
      </c>
      <c r="P45" s="12">
        <f>'Actual Values'!$C$9-'ExpValues Eq'!O45</f>
        <v>261216.26999999996</v>
      </c>
      <c r="Q45" s="12">
        <f>O45+'Actual Values'!$D$9</f>
        <v>202387.73000000004</v>
      </c>
      <c r="R45" s="12">
        <f>'Actual Values'!$A$21*'NOLH Designs (2)'!S46</f>
        <v>56.120000000000005</v>
      </c>
      <c r="S45" s="12">
        <f>'Actual Values'!$B$21*'NOLH Designs (2)'!S46</f>
        <v>96.14</v>
      </c>
      <c r="T45" s="12">
        <f>'Actual Values'!$C$21*'NOLH Designs (2)'!S46</f>
        <v>56.580000000000005</v>
      </c>
      <c r="U45" s="12">
        <f>'Actual Values'!$A$25*'NOLH Designs (2)'!T46</f>
        <v>66.75</v>
      </c>
      <c r="V45" s="12">
        <f>'Actual Values'!$B$25*'NOLH Designs (2)'!T46</f>
        <v>108.58</v>
      </c>
      <c r="W45" s="12">
        <f>'Actual Values'!$A$13*'NOLH Designs (2)'!G46</f>
        <v>30.6</v>
      </c>
      <c r="X45" s="12">
        <f>'Actual Values'!$B$13*'NOLH Designs (2)'!H46</f>
        <v>36.6</v>
      </c>
      <c r="Y45" s="12">
        <f>'Actual Values'!$A$17*'NOLH Designs (2)'!Q46</f>
        <v>3.32</v>
      </c>
      <c r="Z45" s="12">
        <f>'Actual Values'!$B$17*'NOLH Designs (2)'!R46</f>
        <v>26.400000000000002</v>
      </c>
      <c r="AA45" s="12">
        <f>'Actual Values'!$C$17*'NOLH Designs (2)'!Q46</f>
        <v>1.66</v>
      </c>
      <c r="AB45" s="12">
        <f>'Actual Values'!$D$17*'NOLH Designs (2)'!R46</f>
        <v>12</v>
      </c>
      <c r="AC45" s="6">
        <v>0.81</v>
      </c>
      <c r="AD45" s="6">
        <v>0.15</v>
      </c>
      <c r="AE45" s="6">
        <v>0.32</v>
      </c>
      <c r="AF45" s="6">
        <v>0.86</v>
      </c>
      <c r="AG45" s="6">
        <v>0.16</v>
      </c>
      <c r="AH45" s="6">
        <v>0.32</v>
      </c>
      <c r="AI45" s="6">
        <v>0.12</v>
      </c>
      <c r="AJ45" s="6">
        <v>0.2</v>
      </c>
    </row>
    <row r="46" spans="1:36" x14ac:dyDescent="0.2">
      <c r="A46" s="8">
        <v>43</v>
      </c>
      <c r="B46" s="6">
        <f>'Actual Values'!$B$3*'NOLH Designs (2)'!B47</f>
        <v>6330240</v>
      </c>
      <c r="C46" s="6">
        <f>'Actual Values'!$B$5*'NOLH Designs (2)'!B47</f>
        <v>5554080</v>
      </c>
      <c r="D46" s="6">
        <f>'Actual Values'!$B$7*'NOLH Designs (2)'!B47</f>
        <v>2914350</v>
      </c>
      <c r="E46" s="6">
        <f>'Actual Values'!$B$9*'NOLH Designs (2)'!B47</f>
        <v>2176803</v>
      </c>
      <c r="F46" s="12">
        <f>'Actual Values'!$C$3*'NOLH Designs (2)'!C47</f>
        <v>409958.40000000008</v>
      </c>
      <c r="G46" s="12">
        <f>'Actual Values'!$C$3-'ExpValues Eq'!F46</f>
        <v>795801.59999999986</v>
      </c>
      <c r="H46" s="12">
        <f>F46+'Actual Values'!$D$3</f>
        <v>632958.40000000014</v>
      </c>
      <c r="I46" s="12">
        <f>'Actual Values'!$C$5*'NOLH Designs (2)'!D47</f>
        <v>116371.2000000001</v>
      </c>
      <c r="J46" s="12">
        <f>'Actual Values'!$C$5-'ExpValues Eq'!I46</f>
        <v>941548.79999999993</v>
      </c>
      <c r="K46" s="12">
        <f>I46+'Actual Values'!$D$5</f>
        <v>374371.20000000007</v>
      </c>
      <c r="L46" s="12">
        <f>'Actual Values'!$C$7*'NOLH Designs (2)'!E47</f>
        <v>88818.239999999962</v>
      </c>
      <c r="M46" s="12">
        <f>'Actual Values'!$C$7-'ExpValues Eq'!L46</f>
        <v>466295.76</v>
      </c>
      <c r="N46" s="12">
        <f>L46+'Actual Values'!$D$7</f>
        <v>262423.24</v>
      </c>
      <c r="O46" s="12">
        <f>'Actual Values'!$C$9*'NOLH Designs (2)'!F47</f>
        <v>149266.44000000003</v>
      </c>
      <c r="P46" s="12">
        <f>'Actual Values'!$C$9-'ExpValues Eq'!O46</f>
        <v>265362.55999999994</v>
      </c>
      <c r="Q46" s="12">
        <f>O46+'Actual Values'!$D$9</f>
        <v>198241.44000000003</v>
      </c>
      <c r="R46" s="12">
        <f>'Actual Values'!$A$21*'NOLH Designs (2)'!S47</f>
        <v>108.58</v>
      </c>
      <c r="S46" s="12">
        <f>'Actual Values'!$B$21*'NOLH Designs (2)'!S47</f>
        <v>186.01</v>
      </c>
      <c r="T46" s="12">
        <f>'Actual Values'!$C$21*'NOLH Designs (2)'!S47</f>
        <v>109.47</v>
      </c>
      <c r="U46" s="12">
        <f>'Actual Values'!$A$25*'NOLH Designs (2)'!T47</f>
        <v>74.25</v>
      </c>
      <c r="V46" s="12">
        <f>'Actual Values'!$B$25*'NOLH Designs (2)'!T47</f>
        <v>120.78</v>
      </c>
      <c r="W46" s="12">
        <f>'Actual Values'!$A$13*'NOLH Designs (2)'!G47</f>
        <v>24.599999999999998</v>
      </c>
      <c r="X46" s="12">
        <f>'Actual Values'!$B$13*'NOLH Designs (2)'!H47</f>
        <v>79.2</v>
      </c>
      <c r="Y46" s="12">
        <f>'Actual Values'!$A$17*'NOLH Designs (2)'!Q47</f>
        <v>3.56</v>
      </c>
      <c r="Z46" s="12">
        <f>'Actual Values'!$B$17*'NOLH Designs (2)'!R47</f>
        <v>27.06</v>
      </c>
      <c r="AA46" s="12">
        <f>'Actual Values'!$C$17*'NOLH Designs (2)'!Q47</f>
        <v>1.78</v>
      </c>
      <c r="AB46" s="12">
        <f>'Actual Values'!$D$17*'NOLH Designs (2)'!R47</f>
        <v>12.299999999999999</v>
      </c>
      <c r="AC46" s="6">
        <v>0.63</v>
      </c>
      <c r="AD46" s="6">
        <v>0.35</v>
      </c>
      <c r="AE46" s="6">
        <v>0.2</v>
      </c>
      <c r="AF46" s="6">
        <v>0.71</v>
      </c>
      <c r="AG46" s="6">
        <v>0.33</v>
      </c>
      <c r="AH46" s="6">
        <v>0.15</v>
      </c>
      <c r="AI46" s="6">
        <v>0.21</v>
      </c>
      <c r="AJ46" s="6">
        <v>0.28999999999999998</v>
      </c>
    </row>
    <row r="47" spans="1:36" x14ac:dyDescent="0.2">
      <c r="A47" s="8">
        <v>44</v>
      </c>
      <c r="B47" s="6">
        <f>'Actual Values'!$B$3*'NOLH Designs (2)'!B48</f>
        <v>6710054.4000000004</v>
      </c>
      <c r="C47" s="6">
        <f>'Actual Values'!$B$5*'NOLH Designs (2)'!B48</f>
        <v>5887324.8000000007</v>
      </c>
      <c r="D47" s="6">
        <f>'Actual Values'!$B$7*'NOLH Designs (2)'!B48</f>
        <v>3089211</v>
      </c>
      <c r="E47" s="6">
        <f>'Actual Values'!$B$9*'NOLH Designs (2)'!B48</f>
        <v>2307411.1800000002</v>
      </c>
      <c r="F47" s="12">
        <f>'Actual Values'!$C$3*'NOLH Designs (2)'!C48</f>
        <v>494361.59999999992</v>
      </c>
      <c r="G47" s="12">
        <f>'Actual Values'!$C$3-'ExpValues Eq'!F47</f>
        <v>711398.40000000014</v>
      </c>
      <c r="H47" s="12">
        <f>F47+'Actual Values'!$D$3</f>
        <v>717361.59999999986</v>
      </c>
      <c r="I47" s="12">
        <f>'Actual Values'!$C$5*'NOLH Designs (2)'!D48</f>
        <v>63475.200000000055</v>
      </c>
      <c r="J47" s="12">
        <f>'Actual Values'!$C$5-'ExpValues Eq'!I47</f>
        <v>994444.79999999993</v>
      </c>
      <c r="K47" s="12">
        <f>I47+'Actual Values'!$D$5</f>
        <v>321475.20000000007</v>
      </c>
      <c r="L47" s="12">
        <f>'Actual Values'!$C$7*'NOLH Designs (2)'!E48</f>
        <v>38857.980000000032</v>
      </c>
      <c r="M47" s="12">
        <f>'Actual Values'!$C$7-'ExpValues Eq'!L47</f>
        <v>516256.01999999996</v>
      </c>
      <c r="N47" s="12">
        <f>L47+'Actual Values'!$D$7</f>
        <v>212462.98000000004</v>
      </c>
      <c r="O47" s="12">
        <f>'Actual Values'!$C$9*'NOLH Designs (2)'!F48</f>
        <v>128534.99000000002</v>
      </c>
      <c r="P47" s="12">
        <f>'Actual Values'!$C$9-'ExpValues Eq'!O47</f>
        <v>286094.01</v>
      </c>
      <c r="Q47" s="12">
        <f>O47+'Actual Values'!$D$9</f>
        <v>177509.99000000002</v>
      </c>
      <c r="R47" s="12">
        <f>'Actual Values'!$A$21*'NOLH Designs (2)'!S48</f>
        <v>106.14</v>
      </c>
      <c r="S47" s="12">
        <f>'Actual Values'!$B$21*'NOLH Designs (2)'!S48</f>
        <v>181.83</v>
      </c>
      <c r="T47" s="12">
        <f>'Actual Values'!$C$21*'NOLH Designs (2)'!S48</f>
        <v>107.01</v>
      </c>
      <c r="U47" s="12">
        <f>'Actual Values'!$A$25*'NOLH Designs (2)'!T48</f>
        <v>63</v>
      </c>
      <c r="V47" s="12">
        <f>'Actual Values'!$B$25*'NOLH Designs (2)'!T48</f>
        <v>102.47999999999999</v>
      </c>
      <c r="W47" s="12">
        <f>'Actual Values'!$A$13*'NOLH Designs (2)'!G48</f>
        <v>35.699999999999996</v>
      </c>
      <c r="X47" s="12">
        <f>'Actual Values'!$B$13*'NOLH Designs (2)'!H48</f>
        <v>47.400000000000006</v>
      </c>
      <c r="Y47" s="12">
        <f>'Actual Values'!$A$17*'NOLH Designs (2)'!Q48</f>
        <v>3</v>
      </c>
      <c r="Z47" s="12">
        <f>'Actual Values'!$B$17*'NOLH Designs (2)'!R48</f>
        <v>28.71</v>
      </c>
      <c r="AA47" s="12">
        <f>'Actual Values'!$C$17*'NOLH Designs (2)'!Q48</f>
        <v>1.5</v>
      </c>
      <c r="AB47" s="12">
        <f>'Actual Values'!$D$17*'NOLH Designs (2)'!R48</f>
        <v>13.05</v>
      </c>
      <c r="AC47" s="6">
        <v>0.88</v>
      </c>
      <c r="AD47" s="6">
        <v>0.19</v>
      </c>
      <c r="AE47" s="6">
        <v>0.3</v>
      </c>
      <c r="AF47" s="6">
        <v>0.63</v>
      </c>
      <c r="AG47" s="6">
        <v>0.35</v>
      </c>
      <c r="AH47" s="6">
        <v>0.17</v>
      </c>
      <c r="AI47" s="6">
        <v>0.2</v>
      </c>
      <c r="AJ47" s="6">
        <v>0.22</v>
      </c>
    </row>
    <row r="48" spans="1:36" x14ac:dyDescent="0.2">
      <c r="A48" s="8">
        <v>45</v>
      </c>
      <c r="B48" s="6">
        <f>'Actual Values'!$B$3*'NOLH Designs (2)'!B49</f>
        <v>5444006.4000000004</v>
      </c>
      <c r="C48" s="6">
        <f>'Actual Values'!$B$5*'NOLH Designs (2)'!B49</f>
        <v>4776508.8</v>
      </c>
      <c r="D48" s="6">
        <f>'Actual Values'!$B$7*'NOLH Designs (2)'!B49</f>
        <v>2506341</v>
      </c>
      <c r="E48" s="6">
        <f>'Actual Values'!$B$9*'NOLH Designs (2)'!B49</f>
        <v>1872050.58</v>
      </c>
      <c r="F48" s="12">
        <f>'Actual Values'!$C$3*'NOLH Designs (2)'!C49</f>
        <v>24115.200000000023</v>
      </c>
      <c r="G48" s="12">
        <f>'Actual Values'!$C$3-'ExpValues Eq'!F48</f>
        <v>1181644.8</v>
      </c>
      <c r="H48" s="12">
        <f>F48+'Actual Values'!$D$3</f>
        <v>247115.2</v>
      </c>
      <c r="I48" s="12">
        <f>'Actual Values'!$C$5*'NOLH Designs (2)'!D49</f>
        <v>264480</v>
      </c>
      <c r="J48" s="12">
        <f>'Actual Values'!$C$5-'ExpValues Eq'!I48</f>
        <v>793440</v>
      </c>
      <c r="K48" s="12">
        <f>I48+'Actual Values'!$D$5</f>
        <v>522480</v>
      </c>
      <c r="L48" s="12">
        <f>'Actual Values'!$C$7*'NOLH Designs (2)'!E49</f>
        <v>111022.79999999997</v>
      </c>
      <c r="M48" s="12">
        <f>'Actual Values'!$C$7-'ExpValues Eq'!L48</f>
        <v>444091.2</v>
      </c>
      <c r="N48" s="12">
        <f>L48+'Actual Values'!$D$7</f>
        <v>284627.8</v>
      </c>
      <c r="O48" s="12">
        <f>'Actual Values'!$C$9*'NOLH Designs (2)'!F49</f>
        <v>169997.88999999996</v>
      </c>
      <c r="P48" s="12">
        <f>'Actual Values'!$C$9-'ExpValues Eq'!O48</f>
        <v>244631.11000000004</v>
      </c>
      <c r="Q48" s="12">
        <f>O48+'Actual Values'!$D$9</f>
        <v>218972.88999999996</v>
      </c>
      <c r="R48" s="12">
        <f>'Actual Values'!$A$21*'NOLH Designs (2)'!S49</f>
        <v>34.160000000000004</v>
      </c>
      <c r="S48" s="12">
        <f>'Actual Values'!$B$21*'NOLH Designs (2)'!S49</f>
        <v>58.52</v>
      </c>
      <c r="T48" s="12">
        <f>'Actual Values'!$C$21*'NOLH Designs (2)'!S49</f>
        <v>34.440000000000005</v>
      </c>
      <c r="U48" s="12">
        <f>'Actual Values'!$A$25*'NOLH Designs (2)'!T49</f>
        <v>48.75</v>
      </c>
      <c r="V48" s="12">
        <f>'Actual Values'!$B$25*'NOLH Designs (2)'!T49</f>
        <v>79.3</v>
      </c>
      <c r="W48" s="12">
        <f>'Actual Values'!$A$13*'NOLH Designs (2)'!G49</f>
        <v>31.5</v>
      </c>
      <c r="X48" s="12">
        <f>'Actual Values'!$B$13*'NOLH Designs (2)'!H49</f>
        <v>49.8</v>
      </c>
      <c r="Y48" s="12">
        <f>'Actual Values'!$A$17*'NOLH Designs (2)'!Q49</f>
        <v>4.2</v>
      </c>
      <c r="Z48" s="12">
        <f>'Actual Values'!$B$17*'NOLH Designs (2)'!R49</f>
        <v>28.05</v>
      </c>
      <c r="AA48" s="12">
        <f>'Actual Values'!$C$17*'NOLH Designs (2)'!Q49</f>
        <v>2.1</v>
      </c>
      <c r="AB48" s="12">
        <f>'Actual Values'!$D$17*'NOLH Designs (2)'!R49</f>
        <v>12.75</v>
      </c>
      <c r="AC48" s="6">
        <v>0.77</v>
      </c>
      <c r="AD48" s="6">
        <v>0.37</v>
      </c>
      <c r="AE48" s="6">
        <v>0.2</v>
      </c>
      <c r="AF48" s="6">
        <v>0.66</v>
      </c>
      <c r="AG48" s="6">
        <v>0.11</v>
      </c>
      <c r="AH48" s="6">
        <v>0.37</v>
      </c>
      <c r="AI48" s="6">
        <v>0.27</v>
      </c>
      <c r="AJ48" s="6">
        <v>0.13</v>
      </c>
    </row>
    <row r="49" spans="1:36" x14ac:dyDescent="0.2">
      <c r="A49" s="8">
        <v>46</v>
      </c>
      <c r="B49" s="6">
        <f>'Actual Values'!$B$3*'NOLH Designs (2)'!B50</f>
        <v>7532985.5999999996</v>
      </c>
      <c r="C49" s="6">
        <f>'Actual Values'!$B$5*'NOLH Designs (2)'!B50</f>
        <v>6609355.1999999993</v>
      </c>
      <c r="D49" s="6">
        <f>'Actual Values'!$B$7*'NOLH Designs (2)'!B50</f>
        <v>3468076.5</v>
      </c>
      <c r="E49" s="6">
        <f>'Actual Values'!$B$9*'NOLH Designs (2)'!B50</f>
        <v>2590395.5699999998</v>
      </c>
      <c r="F49" s="12">
        <f>'Actual Values'!$C$3*'NOLH Designs (2)'!C50</f>
        <v>253209.59999999995</v>
      </c>
      <c r="G49" s="12">
        <f>'Actual Values'!$C$3-'ExpValues Eq'!F49</f>
        <v>952550.40000000002</v>
      </c>
      <c r="H49" s="12">
        <f>F49+'Actual Values'!$D$3</f>
        <v>476209.6</v>
      </c>
      <c r="I49" s="12">
        <f>'Actual Values'!$C$5*'NOLH Designs (2)'!D50</f>
        <v>327955.20000000007</v>
      </c>
      <c r="J49" s="12">
        <f>'Actual Values'!$C$5-'ExpValues Eq'!I49</f>
        <v>729964.79999999993</v>
      </c>
      <c r="K49" s="12">
        <f>I49+'Actual Values'!$D$5</f>
        <v>585955.20000000007</v>
      </c>
      <c r="L49" s="12">
        <f>'Actual Values'!$C$7*'NOLH Designs (2)'!E50</f>
        <v>22204.560000000019</v>
      </c>
      <c r="M49" s="12">
        <f>'Actual Values'!$C$7-'ExpValues Eq'!L49</f>
        <v>532909.43999999994</v>
      </c>
      <c r="N49" s="12">
        <f>L49+'Actual Values'!$D$7</f>
        <v>195809.56000000003</v>
      </c>
      <c r="O49" s="12">
        <f>'Actual Values'!$C$9*'NOLH Designs (2)'!F50</f>
        <v>132681.28000000003</v>
      </c>
      <c r="P49" s="12">
        <f>'Actual Values'!$C$9-'ExpValues Eq'!O49</f>
        <v>281947.71999999997</v>
      </c>
      <c r="Q49" s="12">
        <f>O49+'Actual Values'!$D$9</f>
        <v>181656.28000000003</v>
      </c>
      <c r="R49" s="12">
        <f>'Actual Values'!$A$21*'NOLH Designs (2)'!S50</f>
        <v>47.58</v>
      </c>
      <c r="S49" s="12">
        <f>'Actual Values'!$B$21*'NOLH Designs (2)'!S50</f>
        <v>81.510000000000005</v>
      </c>
      <c r="T49" s="12">
        <f>'Actual Values'!$C$21*'NOLH Designs (2)'!S50</f>
        <v>47.97</v>
      </c>
      <c r="U49" s="12">
        <f>'Actual Values'!$A$25*'NOLH Designs (2)'!T50</f>
        <v>61.499999999999993</v>
      </c>
      <c r="V49" s="12">
        <f>'Actual Values'!$B$25*'NOLH Designs (2)'!T50</f>
        <v>100.03999999999999</v>
      </c>
      <c r="W49" s="12">
        <f>'Actual Values'!$A$13*'NOLH Designs (2)'!G50</f>
        <v>18.3</v>
      </c>
      <c r="X49" s="12">
        <f>'Actual Values'!$B$13*'NOLH Designs (2)'!H50</f>
        <v>60.6</v>
      </c>
      <c r="Y49" s="12">
        <f>'Actual Values'!$A$17*'NOLH Designs (2)'!Q50</f>
        <v>4.4000000000000004</v>
      </c>
      <c r="Z49" s="12">
        <f>'Actual Values'!$B$17*'NOLH Designs (2)'!R50</f>
        <v>31.02</v>
      </c>
      <c r="AA49" s="12">
        <f>'Actual Values'!$C$17*'NOLH Designs (2)'!Q50</f>
        <v>2.2000000000000002</v>
      </c>
      <c r="AB49" s="12">
        <f>'Actual Values'!$D$17*'NOLH Designs (2)'!R50</f>
        <v>14.1</v>
      </c>
      <c r="AC49" s="6">
        <v>0.8</v>
      </c>
      <c r="AD49" s="6">
        <v>0.23</v>
      </c>
      <c r="AE49" s="6">
        <v>0.35</v>
      </c>
      <c r="AF49" s="6">
        <v>0.71</v>
      </c>
      <c r="AG49" s="6">
        <v>0.15</v>
      </c>
      <c r="AH49" s="6">
        <v>0.27</v>
      </c>
      <c r="AI49" s="6">
        <v>0.28000000000000003</v>
      </c>
      <c r="AJ49" s="6">
        <v>0.16</v>
      </c>
    </row>
    <row r="50" spans="1:36" x14ac:dyDescent="0.2">
      <c r="A50" s="8">
        <v>47</v>
      </c>
      <c r="B50" s="6">
        <f>'Actual Values'!$B$3*'NOLH Designs (2)'!B51</f>
        <v>4874284.8</v>
      </c>
      <c r="C50" s="6">
        <f>'Actual Values'!$B$5*'NOLH Designs (2)'!B51</f>
        <v>4276641.6000000006</v>
      </c>
      <c r="D50" s="6">
        <f>'Actual Values'!$B$7*'NOLH Designs (2)'!B51</f>
        <v>2244049.5</v>
      </c>
      <c r="E50" s="6">
        <f>'Actual Values'!$B$9*'NOLH Designs (2)'!B51</f>
        <v>1676138.31</v>
      </c>
      <c r="F50" s="12">
        <f>'Actual Values'!$C$3*'NOLH Designs (2)'!C51</f>
        <v>470246.39999999991</v>
      </c>
      <c r="G50" s="12">
        <f>'Actual Values'!$C$3-'ExpValues Eq'!F50</f>
        <v>735513.60000000009</v>
      </c>
      <c r="H50" s="12">
        <f>F50+'Actual Values'!$D$3</f>
        <v>693246.39999999991</v>
      </c>
      <c r="I50" s="12">
        <f>'Actual Values'!$C$5*'NOLH Designs (2)'!D51</f>
        <v>359692.8000000001</v>
      </c>
      <c r="J50" s="12">
        <f>'Actual Values'!$C$5-'ExpValues Eq'!I50</f>
        <v>698227.19999999995</v>
      </c>
      <c r="K50" s="12">
        <f>I50+'Actual Values'!$D$5</f>
        <v>617692.80000000005</v>
      </c>
      <c r="L50" s="12">
        <f>'Actual Values'!$C$7*'NOLH Designs (2)'!E51</f>
        <v>127676.21999999999</v>
      </c>
      <c r="M50" s="12">
        <f>'Actual Values'!$C$7-'ExpValues Eq'!L50</f>
        <v>427437.78</v>
      </c>
      <c r="N50" s="12">
        <f>L50+'Actual Values'!$D$7</f>
        <v>301281.21999999997</v>
      </c>
      <c r="O50" s="12">
        <f>'Actual Values'!$C$9*'NOLH Designs (2)'!F51</f>
        <v>161705.30999999997</v>
      </c>
      <c r="P50" s="12">
        <f>'Actual Values'!$C$9-'ExpValues Eq'!O50</f>
        <v>252923.69000000003</v>
      </c>
      <c r="Q50" s="12">
        <f>O50+'Actual Values'!$D$9</f>
        <v>210680.30999999997</v>
      </c>
      <c r="R50" s="12">
        <f>'Actual Values'!$A$21*'NOLH Designs (2)'!S51</f>
        <v>96.38000000000001</v>
      </c>
      <c r="S50" s="12">
        <f>'Actual Values'!$B$21*'NOLH Designs (2)'!S51</f>
        <v>165.11</v>
      </c>
      <c r="T50" s="12">
        <f>'Actual Values'!$C$21*'NOLH Designs (2)'!S51</f>
        <v>97.17</v>
      </c>
      <c r="U50" s="12">
        <f>'Actual Values'!$A$25*'NOLH Designs (2)'!T51</f>
        <v>44.25</v>
      </c>
      <c r="V50" s="12">
        <f>'Actual Values'!$B$25*'NOLH Designs (2)'!T51</f>
        <v>71.97999999999999</v>
      </c>
      <c r="W50" s="12">
        <f>'Actual Values'!$A$13*'NOLH Designs (2)'!G51</f>
        <v>21.299999999999997</v>
      </c>
      <c r="X50" s="12">
        <f>'Actual Values'!$B$13*'NOLH Designs (2)'!H51</f>
        <v>44.4</v>
      </c>
      <c r="Y50" s="12">
        <f>'Actual Values'!$A$17*'NOLH Designs (2)'!Q51</f>
        <v>4.5199999999999996</v>
      </c>
      <c r="Z50" s="12">
        <f>'Actual Values'!$B$17*'NOLH Designs (2)'!R51</f>
        <v>29.04</v>
      </c>
      <c r="AA50" s="12">
        <f>'Actual Values'!$C$17*'NOLH Designs (2)'!Q51</f>
        <v>2.2599999999999998</v>
      </c>
      <c r="AB50" s="12">
        <f>'Actual Values'!$D$17*'NOLH Designs (2)'!R51</f>
        <v>13.2</v>
      </c>
      <c r="AC50" s="6">
        <v>0.65</v>
      </c>
      <c r="AD50" s="6">
        <v>0.35</v>
      </c>
      <c r="AE50" s="6">
        <v>0.1</v>
      </c>
      <c r="AF50" s="6">
        <v>0.79</v>
      </c>
      <c r="AG50" s="6">
        <v>0.24</v>
      </c>
      <c r="AH50" s="6">
        <v>0.12</v>
      </c>
      <c r="AI50" s="6">
        <v>0.28999999999999998</v>
      </c>
      <c r="AJ50" s="6">
        <v>0.14000000000000001</v>
      </c>
    </row>
    <row r="51" spans="1:36" x14ac:dyDescent="0.2">
      <c r="A51" s="8">
        <v>48</v>
      </c>
      <c r="B51" s="6">
        <f>'Actual Values'!$B$3*'NOLH Designs (2)'!B52</f>
        <v>6583449.6000000006</v>
      </c>
      <c r="C51" s="6">
        <f>'Actual Values'!$B$5*'NOLH Designs (2)'!B52</f>
        <v>5776243.2000000002</v>
      </c>
      <c r="D51" s="6">
        <f>'Actual Values'!$B$7*'NOLH Designs (2)'!B52</f>
        <v>3030924</v>
      </c>
      <c r="E51" s="6">
        <f>'Actual Values'!$B$9*'NOLH Designs (2)'!B52</f>
        <v>2263875.12</v>
      </c>
      <c r="F51" s="12">
        <f>'Actual Values'!$C$3*'NOLH Designs (2)'!C52</f>
        <v>530534.39999999991</v>
      </c>
      <c r="G51" s="12">
        <f>'Actual Values'!$C$3-'ExpValues Eq'!F51</f>
        <v>675225.60000000009</v>
      </c>
      <c r="H51" s="12">
        <f>F51+'Actual Values'!$D$3</f>
        <v>753534.39999999991</v>
      </c>
      <c r="I51" s="12">
        <f>'Actual Values'!$C$5*'NOLH Designs (2)'!D52</f>
        <v>433747.1999999999</v>
      </c>
      <c r="J51" s="12">
        <f>'Actual Values'!$C$5-'ExpValues Eq'!I51</f>
        <v>624172.80000000005</v>
      </c>
      <c r="K51" s="12">
        <f>I51+'Actual Values'!$D$5</f>
        <v>691747.2</v>
      </c>
      <c r="L51" s="12">
        <f>'Actual Values'!$C$7*'NOLH Designs (2)'!E52</f>
        <v>49960.260000000046</v>
      </c>
      <c r="M51" s="12">
        <f>'Actual Values'!$C$7-'ExpValues Eq'!L51</f>
        <v>505153.73999999993</v>
      </c>
      <c r="N51" s="12">
        <f>L51+'Actual Values'!$D$7</f>
        <v>223565.26000000004</v>
      </c>
      <c r="O51" s="12">
        <f>'Actual Values'!$C$9*'NOLH Designs (2)'!F52</f>
        <v>199021.91999999998</v>
      </c>
      <c r="P51" s="12">
        <f>'Actual Values'!$C$9-'ExpValues Eq'!O51</f>
        <v>215607.08000000002</v>
      </c>
      <c r="Q51" s="12">
        <f>O51+'Actual Values'!$D$9</f>
        <v>247996.91999999998</v>
      </c>
      <c r="R51" s="12">
        <f>'Actual Values'!$A$21*'NOLH Designs (2)'!S52</f>
        <v>102.47999999999999</v>
      </c>
      <c r="S51" s="12">
        <f>'Actual Values'!$B$21*'NOLH Designs (2)'!S52</f>
        <v>175.56</v>
      </c>
      <c r="T51" s="12">
        <f>'Actual Values'!$C$21*'NOLH Designs (2)'!S52</f>
        <v>103.32</v>
      </c>
      <c r="U51" s="12">
        <f>'Actual Values'!$A$25*'NOLH Designs (2)'!T52</f>
        <v>56.25</v>
      </c>
      <c r="V51" s="12">
        <f>'Actual Values'!$B$25*'NOLH Designs (2)'!T52</f>
        <v>91.5</v>
      </c>
      <c r="W51" s="12">
        <f>'Actual Values'!$A$13*'NOLH Designs (2)'!G52</f>
        <v>36.9</v>
      </c>
      <c r="X51" s="12">
        <f>'Actual Values'!$B$13*'NOLH Designs (2)'!H52</f>
        <v>69.599999999999994</v>
      </c>
      <c r="Y51" s="12">
        <f>'Actual Values'!$A$17*'NOLH Designs (2)'!Q52</f>
        <v>4.5199999999999996</v>
      </c>
      <c r="Z51" s="12">
        <f>'Actual Values'!$B$17*'NOLH Designs (2)'!R52</f>
        <v>29.7</v>
      </c>
      <c r="AA51" s="12">
        <f>'Actual Values'!$C$17*'NOLH Designs (2)'!Q52</f>
        <v>2.2599999999999998</v>
      </c>
      <c r="AB51" s="12">
        <f>'Actual Values'!$D$17*'NOLH Designs (2)'!R52</f>
        <v>13.5</v>
      </c>
      <c r="AC51" s="6">
        <v>0.89</v>
      </c>
      <c r="AD51" s="6">
        <v>0.24</v>
      </c>
      <c r="AE51" s="6">
        <v>0.32</v>
      </c>
      <c r="AF51" s="6">
        <v>0.78</v>
      </c>
      <c r="AG51" s="6">
        <v>0.28999999999999998</v>
      </c>
      <c r="AH51" s="6">
        <v>0.28000000000000003</v>
      </c>
      <c r="AI51" s="6">
        <v>0.27</v>
      </c>
      <c r="AJ51" s="6">
        <v>0.13</v>
      </c>
    </row>
    <row r="52" spans="1:36" x14ac:dyDescent="0.2">
      <c r="A52" s="8">
        <v>49</v>
      </c>
      <c r="B52" s="6">
        <f>'Actual Values'!$B$3*'NOLH Designs (2)'!B53</f>
        <v>6203635.2000000002</v>
      </c>
      <c r="C52" s="6">
        <f>'Actual Values'!$B$5*'NOLH Designs (2)'!B53</f>
        <v>5442998.3999999994</v>
      </c>
      <c r="D52" s="6">
        <f>'Actual Values'!$B$7*'NOLH Designs (2)'!B53</f>
        <v>2856063</v>
      </c>
      <c r="E52" s="6">
        <f>'Actual Values'!$B$9*'NOLH Designs (2)'!B53</f>
        <v>2133266.94</v>
      </c>
      <c r="F52" s="12">
        <f>'Actual Values'!$C$3*'NOLH Designs (2)'!C53</f>
        <v>241151.99999999994</v>
      </c>
      <c r="G52" s="12">
        <f>'Actual Values'!$C$3-'ExpValues Eq'!F52</f>
        <v>964608</v>
      </c>
      <c r="H52" s="12">
        <f>F52+'Actual Values'!$D$3</f>
        <v>464151.99999999994</v>
      </c>
      <c r="I52" s="12">
        <f>'Actual Values'!$C$5*'NOLH Designs (2)'!D53</f>
        <v>105792.00000000009</v>
      </c>
      <c r="J52" s="12">
        <f>'Actual Values'!$C$5-'ExpValues Eq'!I52</f>
        <v>952127.99999999988</v>
      </c>
      <c r="K52" s="12">
        <f>I52+'Actual Values'!$D$5</f>
        <v>363792.00000000012</v>
      </c>
      <c r="L52" s="12">
        <f>'Actual Values'!$C$7*'NOLH Designs (2)'!E53</f>
        <v>266454.71999999997</v>
      </c>
      <c r="M52" s="12">
        <f>'Actual Values'!$C$7-'ExpValues Eq'!L52</f>
        <v>288659.28000000003</v>
      </c>
      <c r="N52" s="12">
        <f>L52+'Actual Values'!$D$7</f>
        <v>440059.72</v>
      </c>
      <c r="O52" s="12">
        <f>'Actual Values'!$C$9*'NOLH Designs (2)'!F53</f>
        <v>153412.73000000004</v>
      </c>
      <c r="P52" s="12">
        <f>'Actual Values'!$C$9-'ExpValues Eq'!O52</f>
        <v>261216.26999999996</v>
      </c>
      <c r="Q52" s="12">
        <f>O52+'Actual Values'!$D$9</f>
        <v>202387.73000000004</v>
      </c>
      <c r="R52" s="12">
        <f>'Actual Values'!$A$21*'NOLH Designs (2)'!S53</f>
        <v>48.800000000000004</v>
      </c>
      <c r="S52" s="12">
        <f>'Actual Values'!$B$21*'NOLH Designs (2)'!S53</f>
        <v>83.600000000000009</v>
      </c>
      <c r="T52" s="12">
        <f>'Actual Values'!$C$21*'NOLH Designs (2)'!S53</f>
        <v>49.2</v>
      </c>
      <c r="U52" s="12">
        <f>'Actual Values'!$A$25*'NOLH Designs (2)'!T53</f>
        <v>21.75</v>
      </c>
      <c r="V52" s="12">
        <f>'Actual Values'!$B$25*'NOLH Designs (2)'!T53</f>
        <v>35.379999999999995</v>
      </c>
      <c r="W52" s="12">
        <f>'Actual Values'!$A$13*'NOLH Designs (2)'!G53</f>
        <v>41.1</v>
      </c>
      <c r="X52" s="12">
        <f>'Actual Values'!$B$13*'NOLH Designs (2)'!H53</f>
        <v>78</v>
      </c>
      <c r="Y52" s="12">
        <f>'Actual Values'!$A$17*'NOLH Designs (2)'!Q53</f>
        <v>3.08</v>
      </c>
      <c r="Z52" s="12">
        <f>'Actual Values'!$B$17*'NOLH Designs (2)'!R53</f>
        <v>40.589999999999996</v>
      </c>
      <c r="AA52" s="12">
        <f>'Actual Values'!$C$17*'NOLH Designs (2)'!Q53</f>
        <v>1.54</v>
      </c>
      <c r="AB52" s="12">
        <f>'Actual Values'!$D$17*'NOLH Designs (2)'!R53</f>
        <v>18.45</v>
      </c>
      <c r="AC52" s="6">
        <v>0.89</v>
      </c>
      <c r="AD52" s="6">
        <v>0.22</v>
      </c>
      <c r="AE52" s="6">
        <v>0.18</v>
      </c>
      <c r="AF52" s="6">
        <v>0.89</v>
      </c>
      <c r="AG52" s="6">
        <v>0.23</v>
      </c>
      <c r="AH52" s="6">
        <v>0.17</v>
      </c>
      <c r="AI52" s="6">
        <v>0.24</v>
      </c>
      <c r="AJ52" s="6">
        <v>0.12</v>
      </c>
    </row>
    <row r="53" spans="1:36" x14ac:dyDescent="0.2">
      <c r="A53" s="8">
        <v>50</v>
      </c>
      <c r="B53" s="6">
        <f>'Actual Values'!$B$3*'NOLH Designs (2)'!B54</f>
        <v>7343078.3999999994</v>
      </c>
      <c r="C53" s="6">
        <f>'Actual Values'!$B$5*'NOLH Designs (2)'!B54</f>
        <v>6442732.7999999998</v>
      </c>
      <c r="D53" s="6">
        <f>'Actual Values'!$B$7*'NOLH Designs (2)'!B54</f>
        <v>3380645.9999999995</v>
      </c>
      <c r="E53" s="6">
        <f>'Actual Values'!$B$9*'NOLH Designs (2)'!B54</f>
        <v>2525091.48</v>
      </c>
      <c r="F53" s="12">
        <f>'Actual Values'!$C$3*'NOLH Designs (2)'!C54</f>
        <v>48230.400000000045</v>
      </c>
      <c r="G53" s="12">
        <f>'Actual Values'!$C$3-'ExpValues Eq'!F53</f>
        <v>1157529.5999999999</v>
      </c>
      <c r="H53" s="12">
        <f>F53+'Actual Values'!$D$3</f>
        <v>271230.40000000002</v>
      </c>
      <c r="I53" s="12">
        <f>'Actual Values'!$C$5*'NOLH Designs (2)'!D54</f>
        <v>63475.200000000055</v>
      </c>
      <c r="J53" s="12">
        <f>'Actual Values'!$C$5-'ExpValues Eq'!I53</f>
        <v>994444.79999999993</v>
      </c>
      <c r="K53" s="12">
        <f>I53+'Actual Values'!$D$5</f>
        <v>321475.20000000007</v>
      </c>
      <c r="L53" s="12">
        <f>'Actual Values'!$C$7*'NOLH Designs (2)'!E54</f>
        <v>160983.06000000003</v>
      </c>
      <c r="M53" s="12">
        <f>'Actual Values'!$C$7-'ExpValues Eq'!L53</f>
        <v>394130.93999999994</v>
      </c>
      <c r="N53" s="12">
        <f>L53+'Actual Values'!$D$7</f>
        <v>334588.06000000006</v>
      </c>
      <c r="O53" s="12">
        <f>'Actual Values'!$C$9*'NOLH Designs (2)'!F54</f>
        <v>161705.30999999997</v>
      </c>
      <c r="P53" s="12">
        <f>'Actual Values'!$C$9-'ExpValues Eq'!O53</f>
        <v>252923.69000000003</v>
      </c>
      <c r="Q53" s="12">
        <f>O53+'Actual Values'!$D$9</f>
        <v>210680.30999999997</v>
      </c>
      <c r="R53" s="12">
        <f>'Actual Values'!$A$21*'NOLH Designs (2)'!S54</f>
        <v>75.64</v>
      </c>
      <c r="S53" s="12">
        <f>'Actual Values'!$B$21*'NOLH Designs (2)'!S54</f>
        <v>129.58000000000001</v>
      </c>
      <c r="T53" s="12">
        <f>'Actual Values'!$C$21*'NOLH Designs (2)'!S54</f>
        <v>76.260000000000005</v>
      </c>
      <c r="U53" s="12">
        <f>'Actual Values'!$A$25*'NOLH Designs (2)'!T54</f>
        <v>33.75</v>
      </c>
      <c r="V53" s="12">
        <f>'Actual Values'!$B$25*'NOLH Designs (2)'!T54</f>
        <v>54.9</v>
      </c>
      <c r="W53" s="12">
        <f>'Actual Values'!$A$13*'NOLH Designs (2)'!G54</f>
        <v>27.900000000000002</v>
      </c>
      <c r="X53" s="12">
        <f>'Actual Values'!$B$13*'NOLH Designs (2)'!H54</f>
        <v>43.8</v>
      </c>
      <c r="Y53" s="12">
        <f>'Actual Values'!$A$17*'NOLH Designs (2)'!Q54</f>
        <v>3.04</v>
      </c>
      <c r="Z53" s="12">
        <f>'Actual Values'!$B$17*'NOLH Designs (2)'!R54</f>
        <v>36.96</v>
      </c>
      <c r="AA53" s="12">
        <f>'Actual Values'!$C$17*'NOLH Designs (2)'!Q54</f>
        <v>1.52</v>
      </c>
      <c r="AB53" s="12">
        <f>'Actual Values'!$D$17*'NOLH Designs (2)'!R54</f>
        <v>16.8</v>
      </c>
      <c r="AC53" s="6">
        <v>0.72</v>
      </c>
      <c r="AD53" s="6">
        <v>0.38</v>
      </c>
      <c r="AE53" s="6">
        <v>0.34</v>
      </c>
      <c r="AF53" s="6">
        <v>0.77</v>
      </c>
      <c r="AG53" s="6">
        <v>0.28000000000000003</v>
      </c>
      <c r="AH53" s="6">
        <v>0.11</v>
      </c>
      <c r="AI53" s="6">
        <v>0.26</v>
      </c>
      <c r="AJ53" s="6">
        <v>0.14000000000000001</v>
      </c>
    </row>
    <row r="54" spans="1:36" x14ac:dyDescent="0.2">
      <c r="A54" s="8">
        <v>51</v>
      </c>
      <c r="B54" s="6">
        <f>'Actual Values'!$B$3*'NOLH Designs (2)'!B55</f>
        <v>6013728</v>
      </c>
      <c r="C54" s="6">
        <f>'Actual Values'!$B$5*'NOLH Designs (2)'!B55</f>
        <v>5276376</v>
      </c>
      <c r="D54" s="6">
        <f>'Actual Values'!$B$7*'NOLH Designs (2)'!B55</f>
        <v>2768632.5</v>
      </c>
      <c r="E54" s="6">
        <f>'Actual Values'!$B$9*'NOLH Designs (2)'!B55</f>
        <v>2067962.8499999999</v>
      </c>
      <c r="F54" s="12">
        <f>'Actual Values'!$C$3*'NOLH Designs (2)'!C55</f>
        <v>325555.20000000001</v>
      </c>
      <c r="G54" s="12">
        <f>'Actual Values'!$C$3-'ExpValues Eq'!F54</f>
        <v>880204.80000000005</v>
      </c>
      <c r="H54" s="12">
        <f>F54+'Actual Values'!$D$3</f>
        <v>548555.19999999995</v>
      </c>
      <c r="I54" s="12">
        <f>'Actual Values'!$C$5*'NOLH Designs (2)'!D55</f>
        <v>169267.19999999992</v>
      </c>
      <c r="J54" s="12">
        <f>'Actual Values'!$C$5-'ExpValues Eq'!I54</f>
        <v>888652.80000000005</v>
      </c>
      <c r="K54" s="12">
        <f>I54+'Actual Values'!$D$5</f>
        <v>427267.19999999995</v>
      </c>
      <c r="L54" s="12">
        <f>'Actual Values'!$C$7*'NOLH Designs (2)'!E55</f>
        <v>216494.45999999993</v>
      </c>
      <c r="M54" s="12">
        <f>'Actual Values'!$C$7-'ExpValues Eq'!L54</f>
        <v>338619.54000000004</v>
      </c>
      <c r="N54" s="12">
        <f>L54+'Actual Values'!$D$7</f>
        <v>390099.45999999996</v>
      </c>
      <c r="O54" s="12">
        <f>'Actual Values'!$C$9*'NOLH Designs (2)'!F55</f>
        <v>107803.54000000001</v>
      </c>
      <c r="P54" s="12">
        <f>'Actual Values'!$C$9-'ExpValues Eq'!O54</f>
        <v>306825.45999999996</v>
      </c>
      <c r="Q54" s="12">
        <f>O54+'Actual Values'!$D$9</f>
        <v>156778.54</v>
      </c>
      <c r="R54" s="12">
        <f>'Actual Values'!$A$21*'NOLH Designs (2)'!S55</f>
        <v>97.600000000000009</v>
      </c>
      <c r="S54" s="12">
        <f>'Actual Values'!$B$21*'NOLH Designs (2)'!S55</f>
        <v>167.20000000000002</v>
      </c>
      <c r="T54" s="12">
        <f>'Actual Values'!$C$21*'NOLH Designs (2)'!S55</f>
        <v>98.4</v>
      </c>
      <c r="U54" s="12">
        <f>'Actual Values'!$A$25*'NOLH Designs (2)'!T55</f>
        <v>28.5</v>
      </c>
      <c r="V54" s="12">
        <f>'Actual Values'!$B$25*'NOLH Designs (2)'!T55</f>
        <v>46.36</v>
      </c>
      <c r="W54" s="12">
        <f>'Actual Values'!$A$13*'NOLH Designs (2)'!G55</f>
        <v>22.2</v>
      </c>
      <c r="X54" s="12">
        <f>'Actual Values'!$B$13*'NOLH Designs (2)'!H55</f>
        <v>78.600000000000009</v>
      </c>
      <c r="Y54" s="12">
        <f>'Actual Values'!$A$17*'NOLH Designs (2)'!Q55</f>
        <v>3.28</v>
      </c>
      <c r="Z54" s="12">
        <f>'Actual Values'!$B$17*'NOLH Designs (2)'!R55</f>
        <v>35.31</v>
      </c>
      <c r="AA54" s="12">
        <f>'Actual Values'!$C$17*'NOLH Designs (2)'!Q55</f>
        <v>1.64</v>
      </c>
      <c r="AB54" s="12">
        <f>'Actual Values'!$D$17*'NOLH Designs (2)'!R55</f>
        <v>16.05</v>
      </c>
      <c r="AC54" s="6">
        <v>0.75</v>
      </c>
      <c r="AD54" s="6">
        <v>0.13</v>
      </c>
      <c r="AE54" s="6">
        <v>0.19</v>
      </c>
      <c r="AF54" s="6">
        <v>0.66</v>
      </c>
      <c r="AG54" s="6">
        <v>0.1</v>
      </c>
      <c r="AH54" s="6">
        <v>0.28999999999999998</v>
      </c>
      <c r="AI54" s="6">
        <v>0.22</v>
      </c>
      <c r="AJ54" s="6">
        <v>0.18</v>
      </c>
    </row>
    <row r="55" spans="1:36" x14ac:dyDescent="0.2">
      <c r="A55" s="8">
        <v>52</v>
      </c>
      <c r="B55" s="6">
        <f>'Actual Values'!$B$3*'NOLH Designs (2)'!B56</f>
        <v>7659590.3999999994</v>
      </c>
      <c r="C55" s="6">
        <f>'Actual Values'!$B$5*'NOLH Designs (2)'!B56</f>
        <v>6720436.7999999998</v>
      </c>
      <c r="D55" s="6">
        <f>'Actual Values'!$B$7*'NOLH Designs (2)'!B56</f>
        <v>3526363.5</v>
      </c>
      <c r="E55" s="6">
        <f>'Actual Values'!$B$9*'NOLH Designs (2)'!B56</f>
        <v>2633931.63</v>
      </c>
      <c r="F55" s="12">
        <f>'Actual Values'!$C$3*'NOLH Designs (2)'!C56</f>
        <v>494361.59999999992</v>
      </c>
      <c r="G55" s="12">
        <f>'Actual Values'!$C$3-'ExpValues Eq'!F55</f>
        <v>711398.40000000014</v>
      </c>
      <c r="H55" s="12">
        <f>F55+'Actual Values'!$D$3</f>
        <v>717361.59999999986</v>
      </c>
      <c r="I55" s="12">
        <f>'Actual Values'!$C$5*'NOLH Designs (2)'!D56</f>
        <v>74054.400000000067</v>
      </c>
      <c r="J55" s="12">
        <f>'Actual Values'!$C$5-'ExpValues Eq'!I55</f>
        <v>983865.6</v>
      </c>
      <c r="K55" s="12">
        <f>I55+'Actual Values'!$D$5</f>
        <v>332054.40000000008</v>
      </c>
      <c r="L55" s="12">
        <f>'Actual Values'!$C$7*'NOLH Designs (2)'!E56</f>
        <v>244250.15999999997</v>
      </c>
      <c r="M55" s="12">
        <f>'Actual Values'!$C$7-'ExpValues Eq'!L55</f>
        <v>310863.84000000003</v>
      </c>
      <c r="N55" s="12">
        <f>L55+'Actual Values'!$D$7</f>
        <v>417855.16</v>
      </c>
      <c r="O55" s="12">
        <f>'Actual Values'!$C$9*'NOLH Designs (2)'!F56</f>
        <v>157559.01999999996</v>
      </c>
      <c r="P55" s="12">
        <f>'Actual Values'!$C$9-'ExpValues Eq'!O55</f>
        <v>257069.98000000004</v>
      </c>
      <c r="Q55" s="12">
        <f>O55+'Actual Values'!$D$9</f>
        <v>206534.01999999996</v>
      </c>
      <c r="R55" s="12">
        <f>'Actual Values'!$A$21*'NOLH Designs (2)'!S56</f>
        <v>100.03999999999999</v>
      </c>
      <c r="S55" s="12">
        <f>'Actual Values'!$B$21*'NOLH Designs (2)'!S56</f>
        <v>171.38</v>
      </c>
      <c r="T55" s="12">
        <f>'Actual Values'!$C$21*'NOLH Designs (2)'!S56</f>
        <v>100.86</v>
      </c>
      <c r="U55" s="12">
        <f>'Actual Values'!$A$25*'NOLH Designs (2)'!T56</f>
        <v>36</v>
      </c>
      <c r="V55" s="12">
        <f>'Actual Values'!$B$25*'NOLH Designs (2)'!T56</f>
        <v>58.559999999999995</v>
      </c>
      <c r="W55" s="12">
        <f>'Actual Values'!$A$13*'NOLH Designs (2)'!G56</f>
        <v>31.200000000000003</v>
      </c>
      <c r="X55" s="12">
        <f>'Actual Values'!$B$13*'NOLH Designs (2)'!H56</f>
        <v>52.8</v>
      </c>
      <c r="Y55" s="12">
        <f>'Actual Values'!$A$17*'NOLH Designs (2)'!Q56</f>
        <v>3.32</v>
      </c>
      <c r="Z55" s="12">
        <f>'Actual Values'!$B$17*'NOLH Designs (2)'!R56</f>
        <v>38.94</v>
      </c>
      <c r="AA55" s="12">
        <f>'Actual Values'!$C$17*'NOLH Designs (2)'!Q56</f>
        <v>1.66</v>
      </c>
      <c r="AB55" s="12">
        <f>'Actual Values'!$D$17*'NOLH Designs (2)'!R56</f>
        <v>17.7</v>
      </c>
      <c r="AC55" s="6">
        <v>0.71</v>
      </c>
      <c r="AD55" s="6">
        <v>0.33</v>
      </c>
      <c r="AE55" s="6">
        <v>0.26</v>
      </c>
      <c r="AF55" s="6">
        <v>0.62</v>
      </c>
      <c r="AG55" s="6">
        <v>0.19</v>
      </c>
      <c r="AH55" s="6">
        <v>0.39</v>
      </c>
      <c r="AI55" s="6">
        <v>0.27</v>
      </c>
      <c r="AJ55" s="6">
        <v>0.19</v>
      </c>
    </row>
    <row r="56" spans="1:36" x14ac:dyDescent="0.2">
      <c r="A56" s="8">
        <v>53</v>
      </c>
      <c r="B56" s="6">
        <f>'Actual Values'!$B$3*'NOLH Designs (2)'!B57</f>
        <v>5760518.4000000004</v>
      </c>
      <c r="C56" s="6">
        <f>'Actual Values'!$B$5*'NOLH Designs (2)'!B57</f>
        <v>5054212.8</v>
      </c>
      <c r="D56" s="6">
        <f>'Actual Values'!$B$7*'NOLH Designs (2)'!B57</f>
        <v>2652058.5</v>
      </c>
      <c r="E56" s="6">
        <f>'Actual Values'!$B$9*'NOLH Designs (2)'!B57</f>
        <v>1980890.73</v>
      </c>
      <c r="F56" s="12">
        <f>'Actual Values'!$C$3*'NOLH Designs (2)'!C57</f>
        <v>120576.0000000001</v>
      </c>
      <c r="G56" s="12">
        <f>'Actual Values'!$C$3-'ExpValues Eq'!F56</f>
        <v>1085184</v>
      </c>
      <c r="H56" s="12">
        <f>F56+'Actual Values'!$D$3</f>
        <v>343576.00000000012</v>
      </c>
      <c r="I56" s="12">
        <f>'Actual Values'!$C$5*'NOLH Designs (2)'!D57</f>
        <v>317376.00000000006</v>
      </c>
      <c r="J56" s="12">
        <f>'Actual Values'!$C$5-'ExpValues Eq'!I56</f>
        <v>740544</v>
      </c>
      <c r="K56" s="12">
        <f>I56+'Actual Values'!$D$5</f>
        <v>575376</v>
      </c>
      <c r="L56" s="12">
        <f>'Actual Values'!$C$7*'NOLH Designs (2)'!E57</f>
        <v>138778.5</v>
      </c>
      <c r="M56" s="12">
        <f>'Actual Values'!$C$7-'ExpValues Eq'!L56</f>
        <v>416335.5</v>
      </c>
      <c r="N56" s="12">
        <f>L56+'Actual Values'!$D$7</f>
        <v>312383.5</v>
      </c>
      <c r="O56" s="12">
        <f>'Actual Values'!$C$9*'NOLH Designs (2)'!F57</f>
        <v>199021.91999999998</v>
      </c>
      <c r="P56" s="12">
        <f>'Actual Values'!$C$9-'ExpValues Eq'!O56</f>
        <v>215607.08000000002</v>
      </c>
      <c r="Q56" s="12">
        <f>O56+'Actual Values'!$D$9</f>
        <v>247996.91999999998</v>
      </c>
      <c r="R56" s="12">
        <f>'Actual Values'!$A$21*'NOLH Designs (2)'!S57</f>
        <v>31.720000000000002</v>
      </c>
      <c r="S56" s="12">
        <f>'Actual Values'!$B$21*'NOLH Designs (2)'!S57</f>
        <v>54.34</v>
      </c>
      <c r="T56" s="12">
        <f>'Actual Values'!$C$21*'NOLH Designs (2)'!S57</f>
        <v>31.98</v>
      </c>
      <c r="U56" s="12">
        <f>'Actual Values'!$A$25*'NOLH Designs (2)'!T57</f>
        <v>38.25</v>
      </c>
      <c r="V56" s="12">
        <f>'Actual Values'!$B$25*'NOLH Designs (2)'!T57</f>
        <v>62.22</v>
      </c>
      <c r="W56" s="12">
        <f>'Actual Values'!$A$13*'NOLH Designs (2)'!G57</f>
        <v>37.799999999999997</v>
      </c>
      <c r="X56" s="12">
        <f>'Actual Values'!$B$13*'NOLH Designs (2)'!H57</f>
        <v>39.6</v>
      </c>
      <c r="Y56" s="12">
        <f>'Actual Values'!$A$17*'NOLH Designs (2)'!Q57</f>
        <v>4.5599999999999996</v>
      </c>
      <c r="Z56" s="12">
        <f>'Actual Values'!$B$17*'NOLH Designs (2)'!R57</f>
        <v>34.32</v>
      </c>
      <c r="AA56" s="12">
        <f>'Actual Values'!$C$17*'NOLH Designs (2)'!Q57</f>
        <v>2.2799999999999998</v>
      </c>
      <c r="AB56" s="12">
        <f>'Actual Values'!$D$17*'NOLH Designs (2)'!R57</f>
        <v>15.600000000000001</v>
      </c>
      <c r="AC56" s="6">
        <v>0.81</v>
      </c>
      <c r="AD56" s="6">
        <v>0.21</v>
      </c>
      <c r="AE56" s="6">
        <v>0.13</v>
      </c>
      <c r="AF56" s="6">
        <v>0.7</v>
      </c>
      <c r="AG56" s="6">
        <v>0.28999999999999998</v>
      </c>
      <c r="AH56" s="6">
        <v>0.15</v>
      </c>
      <c r="AI56" s="6">
        <v>0.21</v>
      </c>
      <c r="AJ56" s="6">
        <v>0.27</v>
      </c>
    </row>
    <row r="57" spans="1:36" x14ac:dyDescent="0.2">
      <c r="A57" s="8">
        <v>54</v>
      </c>
      <c r="B57" s="6">
        <f>'Actual Values'!$B$3*'NOLH Designs (2)'!B58</f>
        <v>7469683.1999999993</v>
      </c>
      <c r="C57" s="6">
        <f>'Actual Values'!$B$5*'NOLH Designs (2)'!B58</f>
        <v>6553814.3999999994</v>
      </c>
      <c r="D57" s="6">
        <f>'Actual Values'!$B$7*'NOLH Designs (2)'!B58</f>
        <v>3438933</v>
      </c>
      <c r="E57" s="6">
        <f>'Actual Values'!$B$9*'NOLH Designs (2)'!B58</f>
        <v>2568627.54</v>
      </c>
      <c r="F57" s="12">
        <f>'Actual Values'!$C$3*'NOLH Designs (2)'!C58</f>
        <v>72345.600000000064</v>
      </c>
      <c r="G57" s="12">
        <f>'Actual Values'!$C$3-'ExpValues Eq'!F57</f>
        <v>1133414.3999999999</v>
      </c>
      <c r="H57" s="12">
        <f>F57+'Actual Values'!$D$3</f>
        <v>295345.60000000009</v>
      </c>
      <c r="I57" s="12">
        <f>'Actual Values'!$C$5*'NOLH Designs (2)'!D58</f>
        <v>486643.19999999995</v>
      </c>
      <c r="J57" s="12">
        <f>'Actual Values'!$C$5-'ExpValues Eq'!I57</f>
        <v>571276.80000000005</v>
      </c>
      <c r="K57" s="12">
        <f>I57+'Actual Values'!$D$5</f>
        <v>744643.2</v>
      </c>
      <c r="L57" s="12">
        <f>'Actual Values'!$C$7*'NOLH Designs (2)'!E58</f>
        <v>172085.34000000003</v>
      </c>
      <c r="M57" s="12">
        <f>'Actual Values'!$C$7-'ExpValues Eq'!L57</f>
        <v>383028.66</v>
      </c>
      <c r="N57" s="12">
        <f>L57+'Actual Values'!$D$7</f>
        <v>345690.34</v>
      </c>
      <c r="O57" s="12">
        <f>'Actual Values'!$C$9*'NOLH Designs (2)'!F58</f>
        <v>190729.34</v>
      </c>
      <c r="P57" s="12">
        <f>'Actual Values'!$C$9-'ExpValues Eq'!O57</f>
        <v>223899.66</v>
      </c>
      <c r="Q57" s="12">
        <f>O57+'Actual Values'!$D$9</f>
        <v>239704.34</v>
      </c>
      <c r="R57" s="12">
        <f>'Actual Values'!$A$21*'NOLH Designs (2)'!S58</f>
        <v>30.5</v>
      </c>
      <c r="S57" s="12">
        <f>'Actual Values'!$B$21*'NOLH Designs (2)'!S58</f>
        <v>52.25</v>
      </c>
      <c r="T57" s="12">
        <f>'Actual Values'!$C$21*'NOLH Designs (2)'!S58</f>
        <v>30.75</v>
      </c>
      <c r="U57" s="12">
        <f>'Actual Values'!$A$25*'NOLH Designs (2)'!T58</f>
        <v>24</v>
      </c>
      <c r="V57" s="12">
        <f>'Actual Values'!$B$25*'NOLH Designs (2)'!T58</f>
        <v>39.04</v>
      </c>
      <c r="W57" s="12">
        <f>'Actual Values'!$A$13*'NOLH Designs (2)'!G58</f>
        <v>20.400000000000002</v>
      </c>
      <c r="X57" s="12">
        <f>'Actual Values'!$B$13*'NOLH Designs (2)'!H58</f>
        <v>61.800000000000004</v>
      </c>
      <c r="Y57" s="12">
        <f>'Actual Values'!$A$17*'NOLH Designs (2)'!Q58</f>
        <v>4</v>
      </c>
      <c r="Z57" s="12">
        <f>'Actual Values'!$B$17*'NOLH Designs (2)'!R58</f>
        <v>35.64</v>
      </c>
      <c r="AA57" s="12">
        <f>'Actual Values'!$C$17*'NOLH Designs (2)'!Q58</f>
        <v>2</v>
      </c>
      <c r="AB57" s="12">
        <f>'Actual Values'!$D$17*'NOLH Designs (2)'!R58</f>
        <v>16.200000000000003</v>
      </c>
      <c r="AC57" s="6">
        <v>0.68</v>
      </c>
      <c r="AD57" s="6">
        <v>0.25</v>
      </c>
      <c r="AE57" s="6">
        <v>0.39</v>
      </c>
      <c r="AF57" s="6">
        <v>0.73</v>
      </c>
      <c r="AG57" s="6">
        <v>0.38</v>
      </c>
      <c r="AH57" s="6">
        <v>0.19</v>
      </c>
      <c r="AI57" s="6">
        <v>0.16</v>
      </c>
      <c r="AJ57" s="6">
        <v>0.25</v>
      </c>
    </row>
    <row r="58" spans="1:36" x14ac:dyDescent="0.2">
      <c r="A58" s="8">
        <v>55</v>
      </c>
      <c r="B58" s="6">
        <f>'Actual Values'!$B$3*'NOLH Designs (2)'!B59</f>
        <v>5380704</v>
      </c>
      <c r="C58" s="6">
        <f>'Actual Values'!$B$5*'NOLH Designs (2)'!B59</f>
        <v>4720968</v>
      </c>
      <c r="D58" s="6">
        <f>'Actual Values'!$B$7*'NOLH Designs (2)'!B59</f>
        <v>2477197.5</v>
      </c>
      <c r="E58" s="6">
        <f>'Actual Values'!$B$9*'NOLH Designs (2)'!B59</f>
        <v>1850282.55</v>
      </c>
      <c r="F58" s="12">
        <f>'Actual Values'!$C$3*'NOLH Designs (2)'!C59</f>
        <v>409958.40000000008</v>
      </c>
      <c r="G58" s="12">
        <f>'Actual Values'!$C$3-'ExpValues Eq'!F58</f>
        <v>795801.59999999986</v>
      </c>
      <c r="H58" s="12">
        <f>F58+'Actual Values'!$D$3</f>
        <v>632958.40000000014</v>
      </c>
      <c r="I58" s="12">
        <f>'Actual Values'!$C$5*'NOLH Designs (2)'!D59</f>
        <v>285638.40000000002</v>
      </c>
      <c r="J58" s="12">
        <f>'Actual Values'!$C$5-'ExpValues Eq'!I58</f>
        <v>772281.6</v>
      </c>
      <c r="K58" s="12">
        <f>I58+'Actual Values'!$D$5</f>
        <v>543638.4</v>
      </c>
      <c r="L58" s="12">
        <f>'Actual Values'!$C$7*'NOLH Designs (2)'!E59</f>
        <v>188738.76000000004</v>
      </c>
      <c r="M58" s="12">
        <f>'Actual Values'!$C$7-'ExpValues Eq'!L58</f>
        <v>366375.24</v>
      </c>
      <c r="N58" s="12">
        <f>L58+'Actual Values'!$D$7</f>
        <v>362343.76</v>
      </c>
      <c r="O58" s="12">
        <f>'Actual Values'!$C$9*'NOLH Designs (2)'!F59</f>
        <v>203168.21</v>
      </c>
      <c r="P58" s="12">
        <f>'Actual Values'!$C$9-'ExpValues Eq'!O58</f>
        <v>211460.79</v>
      </c>
      <c r="Q58" s="12">
        <f>O58+'Actual Values'!$D$9</f>
        <v>252143.21</v>
      </c>
      <c r="R58" s="12">
        <f>'Actual Values'!$A$21*'NOLH Designs (2)'!S59</f>
        <v>107.36</v>
      </c>
      <c r="S58" s="12">
        <f>'Actual Values'!$B$21*'NOLH Designs (2)'!S59</f>
        <v>183.92</v>
      </c>
      <c r="T58" s="12">
        <f>'Actual Values'!$C$21*'NOLH Designs (2)'!S59</f>
        <v>108.24</v>
      </c>
      <c r="U58" s="12">
        <f>'Actual Values'!$A$25*'NOLH Designs (2)'!T59</f>
        <v>41.25</v>
      </c>
      <c r="V58" s="12">
        <f>'Actual Values'!$B$25*'NOLH Designs (2)'!T59</f>
        <v>67.100000000000009</v>
      </c>
      <c r="W58" s="12">
        <f>'Actual Values'!$A$13*'NOLH Designs (2)'!G59</f>
        <v>19.5</v>
      </c>
      <c r="X58" s="12">
        <f>'Actual Values'!$B$13*'NOLH Designs (2)'!H59</f>
        <v>46.2</v>
      </c>
      <c r="Y58" s="12">
        <f>'Actual Values'!$A$17*'NOLH Designs (2)'!Q59</f>
        <v>4.6399999999999997</v>
      </c>
      <c r="Z58" s="12">
        <f>'Actual Values'!$B$17*'NOLH Designs (2)'!R59</f>
        <v>38.279999999999994</v>
      </c>
      <c r="AA58" s="12">
        <f>'Actual Values'!$C$17*'NOLH Designs (2)'!Q59</f>
        <v>2.3199999999999998</v>
      </c>
      <c r="AB58" s="12">
        <f>'Actual Values'!$D$17*'NOLH Designs (2)'!R59</f>
        <v>17.399999999999999</v>
      </c>
      <c r="AC58" s="6">
        <v>0.81</v>
      </c>
      <c r="AD58" s="6">
        <v>0.16</v>
      </c>
      <c r="AE58" s="6">
        <v>0.12</v>
      </c>
      <c r="AF58" s="6">
        <v>0.9</v>
      </c>
      <c r="AG58" s="6">
        <v>0.21</v>
      </c>
      <c r="AH58" s="6">
        <v>0.28999999999999998</v>
      </c>
      <c r="AI58" s="6">
        <v>0.14000000000000001</v>
      </c>
      <c r="AJ58" s="6">
        <v>0.22</v>
      </c>
    </row>
    <row r="59" spans="1:36" x14ac:dyDescent="0.2">
      <c r="A59" s="8">
        <v>56</v>
      </c>
      <c r="B59" s="6">
        <f>'Actual Values'!$B$3*'NOLH Designs (2)'!B60</f>
        <v>7532985.5999999996</v>
      </c>
      <c r="C59" s="6">
        <f>'Actual Values'!$B$5*'NOLH Designs (2)'!B60</f>
        <v>6609355.1999999993</v>
      </c>
      <c r="D59" s="6">
        <f>'Actual Values'!$B$7*'NOLH Designs (2)'!B60</f>
        <v>3468076.5</v>
      </c>
      <c r="E59" s="6">
        <f>'Actual Values'!$B$9*'NOLH Designs (2)'!B60</f>
        <v>2590395.5699999998</v>
      </c>
      <c r="F59" s="12">
        <f>'Actual Values'!$C$3*'NOLH Designs (2)'!C60</f>
        <v>518476.79999999993</v>
      </c>
      <c r="G59" s="12">
        <f>'Actual Values'!$C$3-'ExpValues Eq'!F59</f>
        <v>687283.20000000007</v>
      </c>
      <c r="H59" s="12">
        <f>F59+'Actual Values'!$D$3</f>
        <v>741476.79999999993</v>
      </c>
      <c r="I59" s="12">
        <f>'Actual Values'!$C$5*'NOLH Designs (2)'!D60</f>
        <v>433747.1999999999</v>
      </c>
      <c r="J59" s="12">
        <f>'Actual Values'!$C$5-'ExpValues Eq'!I59</f>
        <v>624172.80000000005</v>
      </c>
      <c r="K59" s="12">
        <f>I59+'Actual Values'!$D$5</f>
        <v>691747.2</v>
      </c>
      <c r="L59" s="12">
        <f>'Actual Values'!$C$7*'NOLH Designs (2)'!E60</f>
        <v>227596.73999999996</v>
      </c>
      <c r="M59" s="12">
        <f>'Actual Values'!$C$7-'ExpValues Eq'!L59</f>
        <v>327517.26</v>
      </c>
      <c r="N59" s="12">
        <f>L59+'Actual Values'!$D$7</f>
        <v>401201.74</v>
      </c>
      <c r="O59" s="12">
        <f>'Actual Values'!$C$9*'NOLH Designs (2)'!F60</f>
        <v>203168.21</v>
      </c>
      <c r="P59" s="12">
        <f>'Actual Values'!$C$9-'ExpValues Eq'!O59</f>
        <v>211460.79</v>
      </c>
      <c r="Q59" s="12">
        <f>O59+'Actual Values'!$D$9</f>
        <v>252143.21</v>
      </c>
      <c r="R59" s="12">
        <f>'Actual Values'!$A$21*'NOLH Designs (2)'!S60</f>
        <v>117.11999999999999</v>
      </c>
      <c r="S59" s="12">
        <f>'Actual Values'!$B$21*'NOLH Designs (2)'!S60</f>
        <v>200.64</v>
      </c>
      <c r="T59" s="12">
        <f>'Actual Values'!$C$21*'NOLH Designs (2)'!S60</f>
        <v>118.08</v>
      </c>
      <c r="U59" s="12">
        <f>'Actual Values'!$A$25*'NOLH Designs (2)'!T60</f>
        <v>41.25</v>
      </c>
      <c r="V59" s="12">
        <f>'Actual Values'!$B$25*'NOLH Designs (2)'!T60</f>
        <v>67.100000000000009</v>
      </c>
      <c r="W59" s="12">
        <f>'Actual Values'!$A$13*'NOLH Designs (2)'!G60</f>
        <v>32.700000000000003</v>
      </c>
      <c r="X59" s="12">
        <f>'Actual Values'!$B$13*'NOLH Designs (2)'!H60</f>
        <v>63.6</v>
      </c>
      <c r="Y59" s="12">
        <f>'Actual Values'!$A$17*'NOLH Designs (2)'!Q60</f>
        <v>4.76</v>
      </c>
      <c r="Z59" s="12">
        <f>'Actual Values'!$B$17*'NOLH Designs (2)'!R60</f>
        <v>36.630000000000003</v>
      </c>
      <c r="AA59" s="12">
        <f>'Actual Values'!$C$17*'NOLH Designs (2)'!Q60</f>
        <v>2.38</v>
      </c>
      <c r="AB59" s="12">
        <f>'Actual Values'!$D$17*'NOLH Designs (2)'!R60</f>
        <v>16.650000000000002</v>
      </c>
      <c r="AC59" s="6">
        <v>0.66</v>
      </c>
      <c r="AD59" s="6">
        <v>0.3</v>
      </c>
      <c r="AE59" s="6">
        <v>0.4</v>
      </c>
      <c r="AF59" s="6">
        <v>0.76</v>
      </c>
      <c r="AG59" s="6">
        <v>0.13</v>
      </c>
      <c r="AH59" s="6">
        <v>0.24</v>
      </c>
      <c r="AI59" s="6">
        <v>0.18</v>
      </c>
      <c r="AJ59" s="6">
        <v>0.26</v>
      </c>
    </row>
    <row r="60" spans="1:36" x14ac:dyDescent="0.2">
      <c r="A60" s="8">
        <v>57</v>
      </c>
      <c r="B60" s="6">
        <f>'Actual Values'!$B$3*'NOLH Designs (2)'!B61</f>
        <v>5254099.2</v>
      </c>
      <c r="C60" s="6">
        <f>'Actual Values'!$B$5*'NOLH Designs (2)'!B61</f>
        <v>4609886.3999999994</v>
      </c>
      <c r="D60" s="6">
        <f>'Actual Values'!$B$7*'NOLH Designs (2)'!B61</f>
        <v>2418910.5</v>
      </c>
      <c r="E60" s="6">
        <f>'Actual Values'!$B$9*'NOLH Designs (2)'!B61</f>
        <v>1806746.49</v>
      </c>
      <c r="F60" s="12">
        <f>'Actual Values'!$C$3*'NOLH Designs (2)'!C61</f>
        <v>60288.000000000051</v>
      </c>
      <c r="G60" s="12">
        <f>'Actual Values'!$C$3-'ExpValues Eq'!F60</f>
        <v>1145472</v>
      </c>
      <c r="H60" s="12">
        <f>F60+'Actual Values'!$D$3</f>
        <v>283288.00000000006</v>
      </c>
      <c r="I60" s="12">
        <f>'Actual Values'!$C$5*'NOLH Designs (2)'!D61</f>
        <v>179846.39999999994</v>
      </c>
      <c r="J60" s="12">
        <f>'Actual Values'!$C$5-'ExpValues Eq'!I60</f>
        <v>878073.60000000009</v>
      </c>
      <c r="K60" s="12">
        <f>I60+'Actual Values'!$D$5</f>
        <v>437846.39999999991</v>
      </c>
      <c r="L60" s="12">
        <f>'Actual Values'!$C$7*'NOLH Designs (2)'!E61</f>
        <v>188738.76000000004</v>
      </c>
      <c r="M60" s="12">
        <f>'Actual Values'!$C$7-'ExpValues Eq'!L60</f>
        <v>366375.24</v>
      </c>
      <c r="N60" s="12">
        <f>L60+'Actual Values'!$D$7</f>
        <v>362343.76</v>
      </c>
      <c r="O60" s="12">
        <f>'Actual Values'!$C$9*'NOLH Designs (2)'!F61</f>
        <v>124388.70000000001</v>
      </c>
      <c r="P60" s="12">
        <f>'Actual Values'!$C$9-'ExpValues Eq'!O60</f>
        <v>290240.3</v>
      </c>
      <c r="Q60" s="12">
        <f>O60+'Actual Values'!$D$9</f>
        <v>173363.7</v>
      </c>
      <c r="R60" s="12">
        <f>'Actual Values'!$A$21*'NOLH Designs (2)'!S61</f>
        <v>62.22</v>
      </c>
      <c r="S60" s="12">
        <f>'Actual Values'!$B$21*'NOLH Designs (2)'!S61</f>
        <v>106.59</v>
      </c>
      <c r="T60" s="12">
        <f>'Actual Values'!$C$21*'NOLH Designs (2)'!S61</f>
        <v>62.730000000000004</v>
      </c>
      <c r="U60" s="12">
        <f>'Actual Values'!$A$25*'NOLH Designs (2)'!T61</f>
        <v>73.5</v>
      </c>
      <c r="V60" s="12">
        <f>'Actual Values'!$B$25*'NOLH Designs (2)'!T61</f>
        <v>119.56</v>
      </c>
      <c r="W60" s="12">
        <f>'Actual Values'!$A$13*'NOLH Designs (2)'!G61</f>
        <v>33.6</v>
      </c>
      <c r="X60" s="12">
        <f>'Actual Values'!$B$13*'NOLH Designs (2)'!H61</f>
        <v>76.2</v>
      </c>
      <c r="Y60" s="12">
        <f>'Actual Values'!$A$17*'NOLH Designs (2)'!Q61</f>
        <v>3.28</v>
      </c>
      <c r="Z60" s="12">
        <f>'Actual Values'!$B$17*'NOLH Designs (2)'!R61</f>
        <v>40.589999999999996</v>
      </c>
      <c r="AA60" s="12">
        <f>'Actual Values'!$C$17*'NOLH Designs (2)'!Q61</f>
        <v>1.64</v>
      </c>
      <c r="AB60" s="12">
        <f>'Actual Values'!$D$17*'NOLH Designs (2)'!R61</f>
        <v>18.45</v>
      </c>
      <c r="AC60" s="6">
        <v>0.64</v>
      </c>
      <c r="AD60" s="6">
        <v>0.14000000000000001</v>
      </c>
      <c r="AE60" s="6">
        <v>0.21</v>
      </c>
      <c r="AF60" s="6">
        <v>0.77</v>
      </c>
      <c r="AG60" s="6">
        <v>0.12</v>
      </c>
      <c r="AH60" s="6">
        <v>0.16</v>
      </c>
      <c r="AI60" s="6">
        <v>0.15</v>
      </c>
      <c r="AJ60" s="6">
        <v>0.12</v>
      </c>
    </row>
    <row r="61" spans="1:36" x14ac:dyDescent="0.2">
      <c r="A61" s="8">
        <v>58</v>
      </c>
      <c r="B61" s="6">
        <f>'Actual Values'!$B$3*'NOLH Designs (2)'!B62</f>
        <v>6836659.2000000002</v>
      </c>
      <c r="C61" s="6">
        <f>'Actual Values'!$B$5*'NOLH Designs (2)'!B62</f>
        <v>5998406.4000000004</v>
      </c>
      <c r="D61" s="6">
        <f>'Actual Values'!$B$7*'NOLH Designs (2)'!B62</f>
        <v>3147498</v>
      </c>
      <c r="E61" s="6">
        <f>'Actual Values'!$B$9*'NOLH Designs (2)'!B62</f>
        <v>2350947.2400000002</v>
      </c>
      <c r="F61" s="12">
        <f>'Actual Values'!$C$3*'NOLH Designs (2)'!C62</f>
        <v>241151.99999999994</v>
      </c>
      <c r="G61" s="12">
        <f>'Actual Values'!$C$3-'ExpValues Eq'!F61</f>
        <v>964608</v>
      </c>
      <c r="H61" s="12">
        <f>F61+'Actual Values'!$D$3</f>
        <v>464151.99999999994</v>
      </c>
      <c r="I61" s="12">
        <f>'Actual Values'!$C$5*'NOLH Designs (2)'!D62</f>
        <v>52896.000000000044</v>
      </c>
      <c r="J61" s="12">
        <f>'Actual Values'!$C$5-'ExpValues Eq'!I61</f>
        <v>1005024</v>
      </c>
      <c r="K61" s="12">
        <f>I61+'Actual Values'!$D$5</f>
        <v>310896.00000000006</v>
      </c>
      <c r="L61" s="12">
        <f>'Actual Values'!$C$7*'NOLH Designs (2)'!E62</f>
        <v>238699.01999999996</v>
      </c>
      <c r="M61" s="12">
        <f>'Actual Values'!$C$7-'ExpValues Eq'!L61</f>
        <v>316414.98000000004</v>
      </c>
      <c r="N61" s="12">
        <f>L61+'Actual Values'!$D$7</f>
        <v>412304.01999999996</v>
      </c>
      <c r="O61" s="12">
        <f>'Actual Values'!$C$9*'NOLH Designs (2)'!F62</f>
        <v>120242.41000000002</v>
      </c>
      <c r="P61" s="12">
        <f>'Actual Values'!$C$9-'ExpValues Eq'!O61</f>
        <v>294386.58999999997</v>
      </c>
      <c r="Q61" s="12">
        <f>O61+'Actual Values'!$D$9</f>
        <v>169217.41000000003</v>
      </c>
      <c r="R61" s="12">
        <f>'Actual Values'!$A$21*'NOLH Designs (2)'!S62</f>
        <v>31.720000000000002</v>
      </c>
      <c r="S61" s="12">
        <f>'Actual Values'!$B$21*'NOLH Designs (2)'!S62</f>
        <v>54.34</v>
      </c>
      <c r="T61" s="12">
        <f>'Actual Values'!$C$21*'NOLH Designs (2)'!S62</f>
        <v>31.98</v>
      </c>
      <c r="U61" s="12">
        <f>'Actual Values'!$A$25*'NOLH Designs (2)'!T62</f>
        <v>70.5</v>
      </c>
      <c r="V61" s="12">
        <f>'Actual Values'!$B$25*'NOLH Designs (2)'!T62</f>
        <v>114.67999999999999</v>
      </c>
      <c r="W61" s="12">
        <f>'Actual Values'!$A$13*'NOLH Designs (2)'!G62</f>
        <v>22.5</v>
      </c>
      <c r="X61" s="12">
        <f>'Actual Values'!$B$13*'NOLH Designs (2)'!H62</f>
        <v>48.6</v>
      </c>
      <c r="Y61" s="12">
        <f>'Actual Values'!$A$17*'NOLH Designs (2)'!Q62</f>
        <v>3.52</v>
      </c>
      <c r="Z61" s="12">
        <f>'Actual Values'!$B$17*'NOLH Designs (2)'!R62</f>
        <v>37.949999999999996</v>
      </c>
      <c r="AA61" s="12">
        <f>'Actual Values'!$C$17*'NOLH Designs (2)'!Q62</f>
        <v>1.76</v>
      </c>
      <c r="AB61" s="12">
        <f>'Actual Values'!$D$17*'NOLH Designs (2)'!R62</f>
        <v>17.25</v>
      </c>
      <c r="AC61" s="6">
        <v>0.84</v>
      </c>
      <c r="AD61" s="6">
        <v>0.28999999999999998</v>
      </c>
      <c r="AE61" s="6">
        <v>0.27</v>
      </c>
      <c r="AF61" s="6">
        <v>0.77</v>
      </c>
      <c r="AG61" s="6">
        <v>0.19</v>
      </c>
      <c r="AH61" s="6">
        <v>0.12</v>
      </c>
      <c r="AI61" s="6">
        <v>0.17</v>
      </c>
      <c r="AJ61" s="6">
        <v>0.12</v>
      </c>
    </row>
    <row r="62" spans="1:36" x14ac:dyDescent="0.2">
      <c r="A62" s="8">
        <v>59</v>
      </c>
      <c r="B62" s="6">
        <f>'Actual Values'!$B$3*'NOLH Designs (2)'!B63</f>
        <v>5064192</v>
      </c>
      <c r="C62" s="6">
        <f>'Actual Values'!$B$5*'NOLH Designs (2)'!B63</f>
        <v>4443264</v>
      </c>
      <c r="D62" s="6">
        <f>'Actual Values'!$B$7*'NOLH Designs (2)'!B63</f>
        <v>2331480</v>
      </c>
      <c r="E62" s="6">
        <f>'Actual Values'!$B$9*'NOLH Designs (2)'!B63</f>
        <v>1741442.4000000001</v>
      </c>
      <c r="F62" s="12">
        <f>'Actual Values'!$C$3*'NOLH Designs (2)'!C63</f>
        <v>506419.1999999999</v>
      </c>
      <c r="G62" s="12">
        <f>'Actual Values'!$C$3-'ExpValues Eq'!F62</f>
        <v>699340.80000000005</v>
      </c>
      <c r="H62" s="12">
        <f>F62+'Actual Values'!$D$3</f>
        <v>729419.2</v>
      </c>
      <c r="I62" s="12">
        <f>'Actual Values'!$C$5*'NOLH Designs (2)'!D63</f>
        <v>222163.19999999995</v>
      </c>
      <c r="J62" s="12">
        <f>'Actual Values'!$C$5-'ExpValues Eq'!I62</f>
        <v>835756.8</v>
      </c>
      <c r="K62" s="12">
        <f>I62+'Actual Values'!$D$5</f>
        <v>480163.19999999995</v>
      </c>
      <c r="L62" s="12">
        <f>'Actual Values'!$C$7*'NOLH Designs (2)'!E63</f>
        <v>260903.58</v>
      </c>
      <c r="M62" s="12">
        <f>'Actual Values'!$C$7-'ExpValues Eq'!L62</f>
        <v>294210.42000000004</v>
      </c>
      <c r="N62" s="12">
        <f>L62+'Actual Values'!$D$7</f>
        <v>434508.57999999996</v>
      </c>
      <c r="O62" s="12">
        <f>'Actual Values'!$C$9*'NOLH Designs (2)'!F63</f>
        <v>207314.5</v>
      </c>
      <c r="P62" s="12">
        <f>'Actual Values'!$C$9-'ExpValues Eq'!O62</f>
        <v>207314.5</v>
      </c>
      <c r="Q62" s="12">
        <f>O62+'Actual Values'!$D$9</f>
        <v>256289.5</v>
      </c>
      <c r="R62" s="12">
        <f>'Actual Values'!$A$21*'NOLH Designs (2)'!S63</f>
        <v>82.960000000000008</v>
      </c>
      <c r="S62" s="12">
        <f>'Actual Values'!$B$21*'NOLH Designs (2)'!S63</f>
        <v>142.12</v>
      </c>
      <c r="T62" s="12">
        <f>'Actual Values'!$C$21*'NOLH Designs (2)'!S63</f>
        <v>83.64</v>
      </c>
      <c r="U62" s="12">
        <f>'Actual Values'!$A$25*'NOLH Designs (2)'!T63</f>
        <v>59.25</v>
      </c>
      <c r="V62" s="12">
        <f>'Actual Values'!$B$25*'NOLH Designs (2)'!T63</f>
        <v>96.38000000000001</v>
      </c>
      <c r="W62" s="12">
        <f>'Actual Values'!$A$13*'NOLH Designs (2)'!G63</f>
        <v>26.7</v>
      </c>
      <c r="X62" s="12">
        <f>'Actual Values'!$B$13*'NOLH Designs (2)'!H63</f>
        <v>62.400000000000006</v>
      </c>
      <c r="Y62" s="12">
        <f>'Actual Values'!$A$17*'NOLH Designs (2)'!Q63</f>
        <v>3.56</v>
      </c>
      <c r="Z62" s="12">
        <f>'Actual Values'!$B$17*'NOLH Designs (2)'!R63</f>
        <v>41.25</v>
      </c>
      <c r="AA62" s="12">
        <f>'Actual Values'!$C$17*'NOLH Designs (2)'!Q63</f>
        <v>1.78</v>
      </c>
      <c r="AB62" s="12">
        <f>'Actual Values'!$D$17*'NOLH Designs (2)'!R63</f>
        <v>18.75</v>
      </c>
      <c r="AC62" s="6">
        <v>0.65</v>
      </c>
      <c r="AD62" s="6">
        <v>0.14000000000000001</v>
      </c>
      <c r="AE62" s="6">
        <v>0.2</v>
      </c>
      <c r="AF62" s="6">
        <v>0.66</v>
      </c>
      <c r="AG62" s="6">
        <v>0.35</v>
      </c>
      <c r="AH62" s="6">
        <v>0.36</v>
      </c>
      <c r="AI62" s="6">
        <v>0.11</v>
      </c>
      <c r="AJ62" s="6">
        <v>0.2</v>
      </c>
    </row>
    <row r="63" spans="1:36" x14ac:dyDescent="0.2">
      <c r="A63" s="8">
        <v>60</v>
      </c>
      <c r="B63" s="6">
        <f>'Actual Values'!$B$3*'NOLH Designs (2)'!B64</f>
        <v>6646752</v>
      </c>
      <c r="C63" s="6">
        <f>'Actual Values'!$B$5*'NOLH Designs (2)'!B64</f>
        <v>5831784</v>
      </c>
      <c r="D63" s="6">
        <f>'Actual Values'!$B$7*'NOLH Designs (2)'!B64</f>
        <v>3060067.5</v>
      </c>
      <c r="E63" s="6">
        <f>'Actual Values'!$B$9*'NOLH Designs (2)'!B64</f>
        <v>2285643.15</v>
      </c>
      <c r="F63" s="12">
        <f>'Actual Values'!$C$3*'NOLH Designs (2)'!C64</f>
        <v>397900.8000000001</v>
      </c>
      <c r="G63" s="12">
        <f>'Actual Values'!$C$3-'ExpValues Eq'!F63</f>
        <v>807859.19999999995</v>
      </c>
      <c r="H63" s="12">
        <f>F63+'Actual Values'!$D$3</f>
        <v>620900.80000000005</v>
      </c>
      <c r="I63" s="12">
        <f>'Actual Values'!$C$5*'NOLH Designs (2)'!D64</f>
        <v>232742.39999999997</v>
      </c>
      <c r="J63" s="12">
        <f>'Actual Values'!$C$5-'ExpValues Eq'!I63</f>
        <v>825177.60000000009</v>
      </c>
      <c r="K63" s="12">
        <f>I63+'Actual Values'!$D$5</f>
        <v>490742.39999999997</v>
      </c>
      <c r="L63" s="12">
        <f>'Actual Values'!$C$7*'NOLH Designs (2)'!E64</f>
        <v>233147.87999999995</v>
      </c>
      <c r="M63" s="12">
        <f>'Actual Values'!$C$7-'ExpValues Eq'!L63</f>
        <v>321966.12000000005</v>
      </c>
      <c r="N63" s="12">
        <f>L63+'Actual Values'!$D$7</f>
        <v>406752.87999999995</v>
      </c>
      <c r="O63" s="12">
        <f>'Actual Values'!$C$9*'NOLH Designs (2)'!F64</f>
        <v>145120.15000000002</v>
      </c>
      <c r="P63" s="12">
        <f>'Actual Values'!$C$9-'ExpValues Eq'!O63</f>
        <v>269508.84999999998</v>
      </c>
      <c r="Q63" s="12">
        <f>O63+'Actual Values'!$D$9</f>
        <v>194095.15000000002</v>
      </c>
      <c r="R63" s="12">
        <f>'Actual Values'!$A$21*'NOLH Designs (2)'!S64</f>
        <v>86.61999999999999</v>
      </c>
      <c r="S63" s="12">
        <f>'Actual Values'!$B$21*'NOLH Designs (2)'!S64</f>
        <v>148.38999999999999</v>
      </c>
      <c r="T63" s="12">
        <f>'Actual Values'!$C$21*'NOLH Designs (2)'!S64</f>
        <v>87.33</v>
      </c>
      <c r="U63" s="12">
        <f>'Actual Values'!$A$25*'NOLH Designs (2)'!T64</f>
        <v>68.25</v>
      </c>
      <c r="V63" s="12">
        <f>'Actual Values'!$B$25*'NOLH Designs (2)'!T64</f>
        <v>111.02000000000001</v>
      </c>
      <c r="W63" s="12">
        <f>'Actual Values'!$A$13*'NOLH Designs (2)'!G64</f>
        <v>39.900000000000006</v>
      </c>
      <c r="X63" s="12">
        <f>'Actual Values'!$B$13*'NOLH Designs (2)'!H64</f>
        <v>54.6</v>
      </c>
      <c r="Y63" s="12">
        <f>'Actual Values'!$A$17*'NOLH Designs (2)'!Q64</f>
        <v>3.88</v>
      </c>
      <c r="Z63" s="12">
        <f>'Actual Values'!$B$17*'NOLH Designs (2)'!R64</f>
        <v>39.269999999999996</v>
      </c>
      <c r="AA63" s="12">
        <f>'Actual Values'!$C$17*'NOLH Designs (2)'!Q64</f>
        <v>1.94</v>
      </c>
      <c r="AB63" s="12">
        <f>'Actual Values'!$D$17*'NOLH Designs (2)'!R64</f>
        <v>17.849999999999998</v>
      </c>
      <c r="AC63" s="6">
        <v>0.8</v>
      </c>
      <c r="AD63" s="6">
        <v>0.38</v>
      </c>
      <c r="AE63" s="6">
        <v>0.39</v>
      </c>
      <c r="AF63" s="6">
        <v>0.68</v>
      </c>
      <c r="AG63" s="6">
        <v>0.33</v>
      </c>
      <c r="AH63" s="6">
        <v>0.31</v>
      </c>
      <c r="AI63" s="6">
        <v>0.19</v>
      </c>
      <c r="AJ63" s="6">
        <v>0.16</v>
      </c>
    </row>
    <row r="64" spans="1:36" x14ac:dyDescent="0.2">
      <c r="A64" s="8">
        <v>61</v>
      </c>
      <c r="B64" s="6">
        <f>'Actual Values'!$B$3*'NOLH Designs (2)'!B65</f>
        <v>6077030.3999999994</v>
      </c>
      <c r="C64" s="6">
        <f>'Actual Values'!$B$5*'NOLH Designs (2)'!B65</f>
        <v>5331916.7999999998</v>
      </c>
      <c r="D64" s="6">
        <f>'Actual Values'!$B$7*'NOLH Designs (2)'!B65</f>
        <v>2797776</v>
      </c>
      <c r="E64" s="6">
        <f>'Actual Values'!$B$9*'NOLH Designs (2)'!B65</f>
        <v>2089730.88</v>
      </c>
      <c r="F64" s="12">
        <f>'Actual Values'!$C$3*'NOLH Designs (2)'!C65</f>
        <v>204979.19999999992</v>
      </c>
      <c r="G64" s="12">
        <f>'Actual Values'!$C$3-'ExpValues Eq'!F64</f>
        <v>1000780.8</v>
      </c>
      <c r="H64" s="12">
        <f>F64+'Actual Values'!$D$3</f>
        <v>427979.19999999995</v>
      </c>
      <c r="I64" s="12">
        <f>'Actual Values'!$C$5*'NOLH Designs (2)'!D65</f>
        <v>476063.99999999994</v>
      </c>
      <c r="J64" s="12">
        <f>'Actual Values'!$C$5-'ExpValues Eq'!I64</f>
        <v>581856</v>
      </c>
      <c r="K64" s="12">
        <f>I64+'Actual Values'!$D$5</f>
        <v>734064</v>
      </c>
      <c r="L64" s="12">
        <f>'Actual Values'!$C$7*'NOLH Designs (2)'!E65</f>
        <v>177636.48000000004</v>
      </c>
      <c r="M64" s="12">
        <f>'Actual Values'!$C$7-'ExpValues Eq'!L64</f>
        <v>377477.51999999996</v>
      </c>
      <c r="N64" s="12">
        <f>L64+'Actual Values'!$D$7</f>
        <v>351241.48000000004</v>
      </c>
      <c r="O64" s="12">
        <f>'Actual Values'!$C$9*'NOLH Designs (2)'!F65</f>
        <v>116096.12000000001</v>
      </c>
      <c r="P64" s="12">
        <f>'Actual Values'!$C$9-'ExpValues Eq'!O64</f>
        <v>298532.88</v>
      </c>
      <c r="Q64" s="12">
        <f>O64+'Actual Values'!$D$9</f>
        <v>165071.12</v>
      </c>
      <c r="R64" s="12">
        <f>'Actual Values'!$A$21*'NOLH Designs (2)'!S65</f>
        <v>37.82</v>
      </c>
      <c r="S64" s="12">
        <f>'Actual Values'!$B$21*'NOLH Designs (2)'!S65</f>
        <v>64.790000000000006</v>
      </c>
      <c r="T64" s="12">
        <f>'Actual Values'!$C$21*'NOLH Designs (2)'!S65</f>
        <v>38.130000000000003</v>
      </c>
      <c r="U64" s="12">
        <f>'Actual Values'!$A$25*'NOLH Designs (2)'!T65</f>
        <v>63.75</v>
      </c>
      <c r="V64" s="12">
        <f>'Actual Values'!$B$25*'NOLH Designs (2)'!T65</f>
        <v>103.7</v>
      </c>
      <c r="W64" s="12">
        <f>'Actual Values'!$A$13*'NOLH Designs (2)'!G65</f>
        <v>39.300000000000004</v>
      </c>
      <c r="X64" s="12">
        <f>'Actual Values'!$B$13*'NOLH Designs (2)'!H65</f>
        <v>53.4</v>
      </c>
      <c r="Y64" s="12">
        <f>'Actual Values'!$A$17*'NOLH Designs (2)'!Q65</f>
        <v>4.4000000000000004</v>
      </c>
      <c r="Z64" s="12">
        <f>'Actual Values'!$B$17*'NOLH Designs (2)'!R65</f>
        <v>32.67</v>
      </c>
      <c r="AA64" s="12">
        <f>'Actual Values'!$C$17*'NOLH Designs (2)'!Q65</f>
        <v>2.2000000000000002</v>
      </c>
      <c r="AB64" s="12">
        <f>'Actual Values'!$D$17*'NOLH Designs (2)'!R65</f>
        <v>14.85</v>
      </c>
      <c r="AC64" s="6">
        <v>0.64</v>
      </c>
      <c r="AD64" s="6">
        <v>0.25</v>
      </c>
      <c r="AE64" s="6">
        <v>0.19</v>
      </c>
      <c r="AF64" s="6">
        <v>0.68</v>
      </c>
      <c r="AG64" s="6">
        <v>0.14000000000000001</v>
      </c>
      <c r="AH64" s="6">
        <v>0.13</v>
      </c>
      <c r="AI64" s="6">
        <v>0.28000000000000003</v>
      </c>
      <c r="AJ64" s="6">
        <v>0.25</v>
      </c>
    </row>
    <row r="65" spans="1:36" x14ac:dyDescent="0.2">
      <c r="A65" s="8">
        <v>62</v>
      </c>
      <c r="B65" s="6">
        <f>'Actual Values'!$B$3*'NOLH Designs (2)'!B66</f>
        <v>6520147.2000000002</v>
      </c>
      <c r="C65" s="6">
        <f>'Actual Values'!$B$5*'NOLH Designs (2)'!B66</f>
        <v>5720702.4000000004</v>
      </c>
      <c r="D65" s="6">
        <f>'Actual Values'!$B$7*'NOLH Designs (2)'!B66</f>
        <v>3001780.5</v>
      </c>
      <c r="E65" s="6">
        <f>'Actual Values'!$B$9*'NOLH Designs (2)'!B66</f>
        <v>2242107.09</v>
      </c>
      <c r="F65" s="12">
        <f>'Actual Values'!$C$3*'NOLH Designs (2)'!C66</f>
        <v>60288.000000000051</v>
      </c>
      <c r="G65" s="12">
        <f>'Actual Values'!$C$3-'ExpValues Eq'!F65</f>
        <v>1145472</v>
      </c>
      <c r="H65" s="12">
        <f>F65+'Actual Values'!$D$3</f>
        <v>283288.00000000006</v>
      </c>
      <c r="I65" s="12">
        <f>'Actual Values'!$C$5*'NOLH Designs (2)'!D66</f>
        <v>317376.00000000006</v>
      </c>
      <c r="J65" s="12">
        <f>'Actual Values'!$C$5-'ExpValues Eq'!I65</f>
        <v>740544</v>
      </c>
      <c r="K65" s="12">
        <f>I65+'Actual Values'!$D$5</f>
        <v>575376</v>
      </c>
      <c r="L65" s="12">
        <f>'Actual Values'!$C$7*'NOLH Designs (2)'!E66</f>
        <v>144329.64000000001</v>
      </c>
      <c r="M65" s="12">
        <f>'Actual Values'!$C$7-'ExpValues Eq'!L65</f>
        <v>410784.36</v>
      </c>
      <c r="N65" s="12">
        <f>L65+'Actual Values'!$D$7</f>
        <v>317934.64</v>
      </c>
      <c r="O65" s="12">
        <f>'Actual Values'!$C$9*'NOLH Designs (2)'!F66</f>
        <v>145120.15000000002</v>
      </c>
      <c r="P65" s="12">
        <f>'Actual Values'!$C$9-'ExpValues Eq'!O65</f>
        <v>269508.84999999998</v>
      </c>
      <c r="Q65" s="12">
        <f>O65+'Actual Values'!$D$9</f>
        <v>194095.15000000002</v>
      </c>
      <c r="R65" s="12">
        <f>'Actual Values'!$A$21*'NOLH Designs (2)'!S66</f>
        <v>53.68</v>
      </c>
      <c r="S65" s="12">
        <f>'Actual Values'!$B$21*'NOLH Designs (2)'!S66</f>
        <v>91.96</v>
      </c>
      <c r="T65" s="12">
        <f>'Actual Values'!$C$21*'NOLH Designs (2)'!S66</f>
        <v>54.12</v>
      </c>
      <c r="U65" s="12">
        <f>'Actual Values'!$A$25*'NOLH Designs (2)'!T66</f>
        <v>50.25</v>
      </c>
      <c r="V65" s="12">
        <f>'Actual Values'!$B$25*'NOLH Designs (2)'!T66</f>
        <v>81.740000000000009</v>
      </c>
      <c r="W65" s="12">
        <f>'Actual Values'!$A$13*'NOLH Designs (2)'!G66</f>
        <v>26.7</v>
      </c>
      <c r="X65" s="12">
        <f>'Actual Values'!$B$13*'NOLH Designs (2)'!H66</f>
        <v>75.599999999999994</v>
      </c>
      <c r="Y65" s="12">
        <f>'Actual Values'!$A$17*'NOLH Designs (2)'!Q66</f>
        <v>4.96</v>
      </c>
      <c r="Z65" s="12">
        <f>'Actual Values'!$B$17*'NOLH Designs (2)'!R66</f>
        <v>35.970000000000006</v>
      </c>
      <c r="AA65" s="12">
        <f>'Actual Values'!$C$17*'NOLH Designs (2)'!Q66</f>
        <v>2.48</v>
      </c>
      <c r="AB65" s="12">
        <f>'Actual Values'!$D$17*'NOLH Designs (2)'!R66</f>
        <v>16.350000000000001</v>
      </c>
      <c r="AC65" s="6">
        <v>0.8</v>
      </c>
      <c r="AD65" s="6">
        <v>0.28999999999999998</v>
      </c>
      <c r="AE65" s="6">
        <v>0.25</v>
      </c>
      <c r="AF65" s="6">
        <v>0.64</v>
      </c>
      <c r="AG65" s="6">
        <v>0.23</v>
      </c>
      <c r="AH65" s="6">
        <v>0.16</v>
      </c>
      <c r="AI65" s="6">
        <v>0.23</v>
      </c>
      <c r="AJ65" s="6">
        <v>0.3</v>
      </c>
    </row>
    <row r="66" spans="1:36" x14ac:dyDescent="0.2">
      <c r="A66" s="8">
        <v>63</v>
      </c>
      <c r="B66" s="6">
        <f>'Actual Values'!$B$3*'NOLH Designs (2)'!B67</f>
        <v>5823820.7999999998</v>
      </c>
      <c r="C66" s="6">
        <f>'Actual Values'!$B$5*'NOLH Designs (2)'!B67</f>
        <v>5109753.6000000006</v>
      </c>
      <c r="D66" s="6">
        <f>'Actual Values'!$B$7*'NOLH Designs (2)'!B67</f>
        <v>2681202</v>
      </c>
      <c r="E66" s="6">
        <f>'Actual Values'!$B$9*'NOLH Designs (2)'!B67</f>
        <v>2002658.76</v>
      </c>
      <c r="F66" s="12">
        <f>'Actual Values'!$C$3*'NOLH Designs (2)'!C67</f>
        <v>349670.40000000002</v>
      </c>
      <c r="G66" s="12">
        <f>'Actual Values'!$C$3-'ExpValues Eq'!F66</f>
        <v>856089.59999999998</v>
      </c>
      <c r="H66" s="12">
        <f>F66+'Actual Values'!$D$3</f>
        <v>572670.4</v>
      </c>
      <c r="I66" s="12">
        <f>'Actual Values'!$C$5*'NOLH Designs (2)'!D67</f>
        <v>444326.39999999991</v>
      </c>
      <c r="J66" s="12">
        <f>'Actual Values'!$C$5-'ExpValues Eq'!I66</f>
        <v>613593.60000000009</v>
      </c>
      <c r="K66" s="12">
        <f>I66+'Actual Values'!$D$5</f>
        <v>702326.39999999991</v>
      </c>
      <c r="L66" s="12">
        <f>'Actual Values'!$C$7*'NOLH Designs (2)'!E67</f>
        <v>255352.43999999997</v>
      </c>
      <c r="M66" s="12">
        <f>'Actual Values'!$C$7-'ExpValues Eq'!L66</f>
        <v>299761.56000000006</v>
      </c>
      <c r="N66" s="12">
        <f>L66+'Actual Values'!$D$7</f>
        <v>428957.43999999994</v>
      </c>
      <c r="O66" s="12">
        <f>'Actual Values'!$C$9*'NOLH Designs (2)'!F67</f>
        <v>157559.01999999996</v>
      </c>
      <c r="P66" s="12">
        <f>'Actual Values'!$C$9-'ExpValues Eq'!O66</f>
        <v>257069.98000000004</v>
      </c>
      <c r="Q66" s="12">
        <f>O66+'Actual Values'!$D$9</f>
        <v>206534.01999999996</v>
      </c>
      <c r="R66" s="12">
        <f>'Actual Values'!$A$21*'NOLH Designs (2)'!S67</f>
        <v>87.84</v>
      </c>
      <c r="S66" s="12">
        <f>'Actual Values'!$B$21*'NOLH Designs (2)'!S67</f>
        <v>150.47999999999999</v>
      </c>
      <c r="T66" s="12">
        <f>'Actual Values'!$C$21*'NOLH Designs (2)'!S67</f>
        <v>88.56</v>
      </c>
      <c r="U66" s="12">
        <f>'Actual Values'!$A$25*'NOLH Designs (2)'!T67</f>
        <v>66</v>
      </c>
      <c r="V66" s="12">
        <f>'Actual Values'!$B$25*'NOLH Designs (2)'!T67</f>
        <v>107.36</v>
      </c>
      <c r="W66" s="12">
        <f>'Actual Values'!$A$13*'NOLH Designs (2)'!G67</f>
        <v>27.900000000000002</v>
      </c>
      <c r="X66" s="12">
        <f>'Actual Values'!$B$13*'NOLH Designs (2)'!H67</f>
        <v>51.6</v>
      </c>
      <c r="Y66" s="12">
        <f>'Actual Values'!$A$17*'NOLH Designs (2)'!Q67</f>
        <v>4.04</v>
      </c>
      <c r="Z66" s="12">
        <f>'Actual Values'!$B$17*'NOLH Designs (2)'!R67</f>
        <v>34.65</v>
      </c>
      <c r="AA66" s="12">
        <f>'Actual Values'!$C$17*'NOLH Designs (2)'!Q67</f>
        <v>2.02</v>
      </c>
      <c r="AB66" s="12">
        <f>'Actual Values'!$D$17*'NOLH Designs (2)'!R67</f>
        <v>15.75</v>
      </c>
      <c r="AC66" s="6">
        <v>0.67</v>
      </c>
      <c r="AD66" s="6">
        <v>0.14000000000000001</v>
      </c>
      <c r="AE66" s="6">
        <v>0.13</v>
      </c>
      <c r="AF66" s="6">
        <v>0.8</v>
      </c>
      <c r="AG66" s="6">
        <v>0.37</v>
      </c>
      <c r="AH66" s="6">
        <v>0.26</v>
      </c>
      <c r="AI66" s="6">
        <v>0.3</v>
      </c>
      <c r="AJ66" s="6">
        <v>0.28000000000000003</v>
      </c>
    </row>
    <row r="67" spans="1:36" x14ac:dyDescent="0.2">
      <c r="A67" s="8">
        <v>64</v>
      </c>
      <c r="B67" s="6">
        <f>'Actual Values'!$B$3*'NOLH Designs (2)'!B68</f>
        <v>7596288</v>
      </c>
      <c r="C67" s="6">
        <f>'Actual Values'!$B$5*'NOLH Designs (2)'!B68</f>
        <v>6664896</v>
      </c>
      <c r="D67" s="6">
        <f>'Actual Values'!$B$7*'NOLH Designs (2)'!B68</f>
        <v>3497220</v>
      </c>
      <c r="E67" s="6">
        <f>'Actual Values'!$B$9*'NOLH Designs (2)'!B68</f>
        <v>2612163.6</v>
      </c>
      <c r="F67" s="12">
        <f>'Actual Values'!$C$3*'NOLH Designs (2)'!C68</f>
        <v>337612.80000000005</v>
      </c>
      <c r="G67" s="12">
        <f>'Actual Values'!$C$3-'ExpValues Eq'!F67</f>
        <v>868147.19999999995</v>
      </c>
      <c r="H67" s="12">
        <f>F67+'Actual Values'!$D$3</f>
        <v>560612.80000000005</v>
      </c>
      <c r="I67" s="12">
        <f>'Actual Values'!$C$5*'NOLH Designs (2)'!D68</f>
        <v>349113.60000000009</v>
      </c>
      <c r="J67" s="12">
        <f>'Actual Values'!$C$5-'ExpValues Eq'!I67</f>
        <v>708806.39999999991</v>
      </c>
      <c r="K67" s="12">
        <f>I67+'Actual Values'!$D$5</f>
        <v>607113.60000000009</v>
      </c>
      <c r="L67" s="12">
        <f>'Actual Values'!$C$7*'NOLH Designs (2)'!E68</f>
        <v>238699.01999999996</v>
      </c>
      <c r="M67" s="12">
        <f>'Actual Values'!$C$7-'ExpValues Eq'!L67</f>
        <v>316414.98000000004</v>
      </c>
      <c r="N67" s="12">
        <f>L67+'Actual Values'!$D$7</f>
        <v>412304.01999999996</v>
      </c>
      <c r="O67" s="12">
        <f>'Actual Values'!$C$9*'NOLH Designs (2)'!F68</f>
        <v>186583.05</v>
      </c>
      <c r="P67" s="12">
        <f>'Actual Values'!$C$9-'ExpValues Eq'!O67</f>
        <v>228045.95</v>
      </c>
      <c r="Q67" s="12">
        <f>O67+'Actual Values'!$D$9</f>
        <v>235558.05</v>
      </c>
      <c r="R67" s="12">
        <f>'Actual Values'!$A$21*'NOLH Designs (2)'!S68</f>
        <v>79.3</v>
      </c>
      <c r="S67" s="12">
        <f>'Actual Values'!$B$21*'NOLH Designs (2)'!S68</f>
        <v>135.85</v>
      </c>
      <c r="T67" s="12">
        <f>'Actual Values'!$C$21*'NOLH Designs (2)'!S68</f>
        <v>79.95</v>
      </c>
      <c r="U67" s="12">
        <f>'Actual Values'!$A$25*'NOLH Designs (2)'!T68</f>
        <v>58.5</v>
      </c>
      <c r="V67" s="12">
        <f>'Actual Values'!$B$25*'NOLH Designs (2)'!T68</f>
        <v>95.16</v>
      </c>
      <c r="W67" s="12">
        <f>'Actual Values'!$A$13*'NOLH Designs (2)'!G68</f>
        <v>31.8</v>
      </c>
      <c r="X67" s="12">
        <f>'Actual Values'!$B$13*'NOLH Designs (2)'!H68</f>
        <v>74.400000000000006</v>
      </c>
      <c r="Y67" s="12">
        <f>'Actual Values'!$A$17*'NOLH Designs (2)'!Q68</f>
        <v>4.28</v>
      </c>
      <c r="Z67" s="12">
        <f>'Actual Values'!$B$17*'NOLH Designs (2)'!R68</f>
        <v>33.660000000000004</v>
      </c>
      <c r="AA67" s="12">
        <f>'Actual Values'!$C$17*'NOLH Designs (2)'!Q68</f>
        <v>2.14</v>
      </c>
      <c r="AB67" s="12">
        <f>'Actual Values'!$D$17*'NOLH Designs (2)'!R68</f>
        <v>15.3</v>
      </c>
      <c r="AC67" s="6">
        <v>0.77</v>
      </c>
      <c r="AD67" s="6">
        <v>0.38</v>
      </c>
      <c r="AE67" s="6">
        <v>0.32</v>
      </c>
      <c r="AF67" s="6">
        <v>0.86</v>
      </c>
      <c r="AG67" s="6">
        <v>0.25</v>
      </c>
      <c r="AH67" s="6">
        <v>0.33</v>
      </c>
      <c r="AI67" s="6">
        <v>0.25</v>
      </c>
      <c r="AJ67" s="6">
        <v>0.22</v>
      </c>
    </row>
    <row r="68" spans="1:36" x14ac:dyDescent="0.2">
      <c r="A68" s="8">
        <v>65</v>
      </c>
      <c r="B68" s="6">
        <f>'Actual Values'!$B$3*'NOLH Designs (2)'!B69</f>
        <v>6330240</v>
      </c>
      <c r="C68" s="6">
        <f>'Actual Values'!$B$5*'NOLH Designs (2)'!B69</f>
        <v>5554080</v>
      </c>
      <c r="D68" s="6">
        <f>'Actual Values'!$B$7*'NOLH Designs (2)'!B69</f>
        <v>2914350</v>
      </c>
      <c r="E68" s="6">
        <f>'Actual Values'!$B$9*'NOLH Designs (2)'!B69</f>
        <v>2176803</v>
      </c>
      <c r="F68" s="12">
        <f>'Actual Values'!$C$3*'NOLH Designs (2)'!C69</f>
        <v>301440</v>
      </c>
      <c r="G68" s="12">
        <f>'Actual Values'!$C$3-'ExpValues Eq'!F68</f>
        <v>904320</v>
      </c>
      <c r="H68" s="12">
        <f>F68+'Actual Values'!$D$3</f>
        <v>524440</v>
      </c>
      <c r="I68" s="12">
        <f>'Actual Values'!$C$5*'NOLH Designs (2)'!D69</f>
        <v>264480</v>
      </c>
      <c r="J68" s="12">
        <f>'Actual Values'!$C$5-'ExpValues Eq'!I68</f>
        <v>793440</v>
      </c>
      <c r="K68" s="12">
        <f>I68+'Actual Values'!$D$5</f>
        <v>522480</v>
      </c>
      <c r="L68" s="12">
        <f>'Actual Values'!$C$7*'NOLH Designs (2)'!E69</f>
        <v>138778.5</v>
      </c>
      <c r="M68" s="12">
        <f>'Actual Values'!$C$7-'ExpValues Eq'!L68</f>
        <v>416335.5</v>
      </c>
      <c r="N68" s="12">
        <f>L68+'Actual Values'!$D$7</f>
        <v>312383.5</v>
      </c>
      <c r="O68" s="12">
        <f>'Actual Values'!$C$9*'NOLH Designs (2)'!F69</f>
        <v>103657.25</v>
      </c>
      <c r="P68" s="12">
        <f>'Actual Values'!$C$9-'ExpValues Eq'!O68</f>
        <v>310971.75</v>
      </c>
      <c r="Q68" s="12">
        <f>O68+'Actual Values'!$D$9</f>
        <v>152632.25</v>
      </c>
      <c r="R68" s="12">
        <f>'Actual Values'!$A$21*'NOLH Designs (2)'!S69</f>
        <v>76.86</v>
      </c>
      <c r="S68" s="12">
        <f>'Actual Values'!$B$21*'NOLH Designs (2)'!S69</f>
        <v>131.66999999999999</v>
      </c>
      <c r="T68" s="12">
        <f>'Actual Values'!$C$21*'NOLH Designs (2)'!S69</f>
        <v>77.489999999999995</v>
      </c>
      <c r="U68" s="12">
        <f>'Actual Values'!$A$25*'NOLH Designs (2)'!T69</f>
        <v>47.25</v>
      </c>
      <c r="V68" s="12">
        <f>'Actual Values'!$B$25*'NOLH Designs (2)'!T69</f>
        <v>76.86</v>
      </c>
      <c r="W68" s="12">
        <f>'Actual Values'!$A$13*'NOLH Designs (2)'!G69</f>
        <v>30</v>
      </c>
      <c r="X68" s="12">
        <f>'Actual Values'!$B$13*'NOLH Designs (2)'!H69</f>
        <v>60</v>
      </c>
      <c r="Y68" s="12">
        <f>'Actual Values'!$A$17*'NOLH Designs (2)'!Q69</f>
        <v>4</v>
      </c>
      <c r="Z68" s="12">
        <f>'Actual Values'!$B$17*'NOLH Designs (2)'!R69</f>
        <v>33</v>
      </c>
      <c r="AA68" s="12">
        <f>'Actual Values'!$C$17*'NOLH Designs (2)'!Q69</f>
        <v>2</v>
      </c>
      <c r="AB68" s="12">
        <f>'Actual Values'!$D$17*'NOLH Designs (2)'!R69</f>
        <v>15</v>
      </c>
      <c r="AC68" s="6">
        <v>0.75</v>
      </c>
      <c r="AD68" s="6">
        <v>0.25</v>
      </c>
      <c r="AE68" s="6">
        <v>0.25</v>
      </c>
      <c r="AF68" s="6">
        <v>0.75</v>
      </c>
      <c r="AG68" s="6">
        <v>0.25</v>
      </c>
      <c r="AH68" s="6">
        <v>0.25</v>
      </c>
      <c r="AI68" s="6">
        <v>0.2</v>
      </c>
      <c r="AJ68" s="6">
        <v>0.2</v>
      </c>
    </row>
    <row r="69" spans="1:36" x14ac:dyDescent="0.2">
      <c r="A69" s="8">
        <v>66</v>
      </c>
      <c r="B69" s="6">
        <f>'Actual Values'!$B$3*'NOLH Designs (2)'!B70</f>
        <v>7153171.1999999993</v>
      </c>
      <c r="C69" s="6">
        <f>'Actual Values'!$B$5*'NOLH Designs (2)'!B70</f>
        <v>6276110.3999999994</v>
      </c>
      <c r="D69" s="6">
        <f>'Actual Values'!$B$7*'NOLH Designs (2)'!B70</f>
        <v>3293215.4999999995</v>
      </c>
      <c r="E69" s="6">
        <f>'Actual Values'!$B$9*'NOLH Designs (2)'!B70</f>
        <v>2459787.3899999997</v>
      </c>
      <c r="F69" s="12">
        <f>'Actual Values'!$C$3*'NOLH Designs (2)'!C70</f>
        <v>337612.80000000005</v>
      </c>
      <c r="G69" s="12">
        <f>'Actual Values'!$C$3-'ExpValues Eq'!F69</f>
        <v>868147.19999999995</v>
      </c>
      <c r="H69" s="12">
        <f>F69+'Actual Values'!$D$3</f>
        <v>560612.80000000005</v>
      </c>
      <c r="I69" s="12">
        <f>'Actual Values'!$C$5*'NOLH Designs (2)'!D70</f>
        <v>317376.00000000006</v>
      </c>
      <c r="J69" s="12">
        <f>'Actual Values'!$C$5-'ExpValues Eq'!I69</f>
        <v>740544</v>
      </c>
      <c r="K69" s="12">
        <f>I69+'Actual Values'!$D$5</f>
        <v>575376</v>
      </c>
      <c r="L69" s="12">
        <f>'Actual Values'!$C$7*'NOLH Designs (2)'!E70</f>
        <v>149880.78</v>
      </c>
      <c r="M69" s="12">
        <f>'Actual Values'!$C$7-'ExpValues Eq'!L69</f>
        <v>405233.22</v>
      </c>
      <c r="N69" s="12">
        <f>L69+'Actual Values'!$D$7</f>
        <v>323485.78000000003</v>
      </c>
      <c r="O69" s="12">
        <f>'Actual Values'!$C$9*'NOLH Designs (2)'!F70</f>
        <v>136827.57000000004</v>
      </c>
      <c r="P69" s="12">
        <f>'Actual Values'!$C$9-'ExpValues Eq'!O69</f>
        <v>277801.42999999993</v>
      </c>
      <c r="Q69" s="12">
        <f>O69+'Actual Values'!$D$9</f>
        <v>185802.57000000004</v>
      </c>
      <c r="R69" s="12">
        <f>'Actual Values'!$A$21*'NOLH Designs (2)'!S70</f>
        <v>73.2</v>
      </c>
      <c r="S69" s="12">
        <f>'Actual Values'!$B$21*'NOLH Designs (2)'!S70</f>
        <v>125.39999999999999</v>
      </c>
      <c r="T69" s="12">
        <f>'Actual Values'!$C$21*'NOLH Designs (2)'!S70</f>
        <v>73.8</v>
      </c>
      <c r="U69" s="12">
        <f>'Actual Values'!$A$25*'NOLH Designs (2)'!T70</f>
        <v>24.75</v>
      </c>
      <c r="V69" s="12">
        <f>'Actual Values'!$B$25*'NOLH Designs (2)'!T70</f>
        <v>40.260000000000005</v>
      </c>
      <c r="W69" s="12">
        <f>'Actual Values'!$A$13*'NOLH Designs (2)'!G70</f>
        <v>25.5</v>
      </c>
      <c r="X69" s="12">
        <f>'Actual Values'!$B$13*'NOLH Designs (2)'!H70</f>
        <v>57</v>
      </c>
      <c r="Y69" s="12">
        <f>'Actual Values'!$A$17*'NOLH Designs (2)'!Q70</f>
        <v>3.76</v>
      </c>
      <c r="Z69" s="12">
        <f>'Actual Values'!$B$17*'NOLH Designs (2)'!R70</f>
        <v>27.389999999999997</v>
      </c>
      <c r="AA69" s="12">
        <f>'Actual Values'!$C$17*'NOLH Designs (2)'!Q70</f>
        <v>1.88</v>
      </c>
      <c r="AB69" s="12">
        <f>'Actual Values'!$D$17*'NOLH Designs (2)'!R70</f>
        <v>12.45</v>
      </c>
      <c r="AC69" s="6">
        <v>0.67</v>
      </c>
      <c r="AD69" s="6">
        <v>0.23</v>
      </c>
      <c r="AE69" s="6">
        <v>0.12</v>
      </c>
      <c r="AF69" s="6">
        <v>0.67</v>
      </c>
      <c r="AG69" s="6">
        <v>0.17</v>
      </c>
      <c r="AH69" s="6">
        <v>0.22</v>
      </c>
      <c r="AI69" s="6">
        <v>0.1</v>
      </c>
      <c r="AJ69" s="6">
        <v>0.11</v>
      </c>
    </row>
    <row r="70" spans="1:36" x14ac:dyDescent="0.2">
      <c r="A70" s="8">
        <v>67</v>
      </c>
      <c r="B70" s="6">
        <f>'Actual Values'!$B$3*'NOLH Designs (2)'!B71</f>
        <v>5064192</v>
      </c>
      <c r="C70" s="6">
        <f>'Actual Values'!$B$5*'NOLH Designs (2)'!B71</f>
        <v>4443264</v>
      </c>
      <c r="D70" s="6">
        <f>'Actual Values'!$B$7*'NOLH Designs (2)'!B71</f>
        <v>2331480</v>
      </c>
      <c r="E70" s="6">
        <f>'Actual Values'!$B$9*'NOLH Designs (2)'!B71</f>
        <v>1741442.4000000001</v>
      </c>
      <c r="F70" s="12">
        <f>'Actual Values'!$C$3*'NOLH Designs (2)'!C71</f>
        <v>422016.00000000012</v>
      </c>
      <c r="G70" s="12">
        <f>'Actual Values'!$C$3-'ExpValues Eq'!F70</f>
        <v>783743.99999999988</v>
      </c>
      <c r="H70" s="12">
        <f>F70+'Actual Values'!$D$3</f>
        <v>645016.00000000012</v>
      </c>
      <c r="I70" s="12">
        <f>'Actual Values'!$C$5*'NOLH Designs (2)'!D71</f>
        <v>306796.80000000005</v>
      </c>
      <c r="J70" s="12">
        <f>'Actual Values'!$C$5-'ExpValues Eq'!I70</f>
        <v>751123.2</v>
      </c>
      <c r="K70" s="12">
        <f>I70+'Actual Values'!$D$5</f>
        <v>564796.80000000005</v>
      </c>
      <c r="L70" s="12">
        <f>'Actual Values'!$C$7*'NOLH Designs (2)'!E71</f>
        <v>149880.78</v>
      </c>
      <c r="M70" s="12">
        <f>'Actual Values'!$C$7-'ExpValues Eq'!L70</f>
        <v>405233.22</v>
      </c>
      <c r="N70" s="12">
        <f>L70+'Actual Values'!$D$7</f>
        <v>323485.78000000003</v>
      </c>
      <c r="O70" s="12">
        <f>'Actual Values'!$C$9*'NOLH Designs (2)'!F71</f>
        <v>186583.05</v>
      </c>
      <c r="P70" s="12">
        <f>'Actual Values'!$C$9-'ExpValues Eq'!O70</f>
        <v>228045.95</v>
      </c>
      <c r="Q70" s="12">
        <f>O70+'Actual Values'!$D$9</f>
        <v>235558.05</v>
      </c>
      <c r="R70" s="12">
        <f>'Actual Values'!$A$21*'NOLH Designs (2)'!S71</f>
        <v>69.539999999999992</v>
      </c>
      <c r="S70" s="12">
        <f>'Actual Values'!$B$21*'NOLH Designs (2)'!S71</f>
        <v>119.13</v>
      </c>
      <c r="T70" s="12">
        <f>'Actual Values'!$C$21*'NOLH Designs (2)'!S71</f>
        <v>70.11</v>
      </c>
      <c r="U70" s="12">
        <f>'Actual Values'!$A$25*'NOLH Designs (2)'!T71</f>
        <v>40.5</v>
      </c>
      <c r="V70" s="12">
        <f>'Actual Values'!$B$25*'NOLH Designs (2)'!T71</f>
        <v>65.88000000000001</v>
      </c>
      <c r="W70" s="12">
        <f>'Actual Values'!$A$13*'NOLH Designs (2)'!G71</f>
        <v>31.200000000000003</v>
      </c>
      <c r="X70" s="12">
        <f>'Actual Values'!$B$13*'NOLH Designs (2)'!H71</f>
        <v>63.6</v>
      </c>
      <c r="Y70" s="12">
        <f>'Actual Values'!$A$17*'NOLH Designs (2)'!Q71</f>
        <v>3.4</v>
      </c>
      <c r="Z70" s="12">
        <f>'Actual Values'!$B$17*'NOLH Designs (2)'!R71</f>
        <v>26.400000000000002</v>
      </c>
      <c r="AA70" s="12">
        <f>'Actual Values'!$C$17*'NOLH Designs (2)'!Q71</f>
        <v>1.7</v>
      </c>
      <c r="AB70" s="12">
        <f>'Actual Values'!$D$17*'NOLH Designs (2)'!R71</f>
        <v>12</v>
      </c>
      <c r="AC70" s="6">
        <v>0.84</v>
      </c>
      <c r="AD70" s="6">
        <v>0.26</v>
      </c>
      <c r="AE70" s="6">
        <v>0.28999999999999998</v>
      </c>
      <c r="AF70" s="6">
        <v>0.62</v>
      </c>
      <c r="AG70" s="6">
        <v>0.22</v>
      </c>
      <c r="AH70" s="6">
        <v>0.21</v>
      </c>
      <c r="AI70" s="6">
        <v>0.11</v>
      </c>
      <c r="AJ70" s="6">
        <v>0.15</v>
      </c>
    </row>
    <row r="71" spans="1:36" x14ac:dyDescent="0.2">
      <c r="A71" s="8">
        <v>68</v>
      </c>
      <c r="B71" s="6">
        <f>'Actual Values'!$B$3*'NOLH Designs (2)'!B72</f>
        <v>6520147.2000000002</v>
      </c>
      <c r="C71" s="6">
        <f>'Actual Values'!$B$5*'NOLH Designs (2)'!B72</f>
        <v>5720702.4000000004</v>
      </c>
      <c r="D71" s="6">
        <f>'Actual Values'!$B$7*'NOLH Designs (2)'!B72</f>
        <v>3001780.5</v>
      </c>
      <c r="E71" s="6">
        <f>'Actual Values'!$B$9*'NOLH Designs (2)'!B72</f>
        <v>2242107.09</v>
      </c>
      <c r="F71" s="12">
        <f>'Actual Values'!$C$3*'NOLH Designs (2)'!C72</f>
        <v>144691.20000000013</v>
      </c>
      <c r="G71" s="12">
        <f>'Actual Values'!$C$3-'ExpValues Eq'!F71</f>
        <v>1061068.7999999998</v>
      </c>
      <c r="H71" s="12">
        <f>F71+'Actual Values'!$D$3</f>
        <v>367691.20000000013</v>
      </c>
      <c r="I71" s="12">
        <f>'Actual Values'!$C$5*'NOLH Designs (2)'!D72</f>
        <v>528960</v>
      </c>
      <c r="J71" s="12">
        <f>'Actual Values'!$C$5-'ExpValues Eq'!I71</f>
        <v>528960</v>
      </c>
      <c r="K71" s="12">
        <f>I71+'Actual Values'!$D$5</f>
        <v>786960</v>
      </c>
      <c r="L71" s="12">
        <f>'Actual Values'!$C$7*'NOLH Designs (2)'!E72</f>
        <v>199841.04000000007</v>
      </c>
      <c r="M71" s="12">
        <f>'Actual Values'!$C$7-'ExpValues Eq'!L71</f>
        <v>355272.95999999996</v>
      </c>
      <c r="N71" s="12">
        <f>L71+'Actual Values'!$D$7</f>
        <v>373446.04000000004</v>
      </c>
      <c r="O71" s="12">
        <f>'Actual Values'!$C$9*'NOLH Designs (2)'!F72</f>
        <v>120242.41000000002</v>
      </c>
      <c r="P71" s="12">
        <f>'Actual Values'!$C$9-'ExpValues Eq'!O71</f>
        <v>294386.58999999997</v>
      </c>
      <c r="Q71" s="12">
        <f>O71+'Actual Values'!$D$9</f>
        <v>169217.41000000003</v>
      </c>
      <c r="R71" s="12">
        <f>'Actual Values'!$A$21*'NOLH Designs (2)'!S72</f>
        <v>108.58</v>
      </c>
      <c r="S71" s="12">
        <f>'Actual Values'!$B$21*'NOLH Designs (2)'!S72</f>
        <v>186.01</v>
      </c>
      <c r="T71" s="12">
        <f>'Actual Values'!$C$21*'NOLH Designs (2)'!S72</f>
        <v>109.47</v>
      </c>
      <c r="U71" s="12">
        <f>'Actual Values'!$A$25*'NOLH Designs (2)'!T72</f>
        <v>27.75</v>
      </c>
      <c r="V71" s="12">
        <f>'Actual Values'!$B$25*'NOLH Designs (2)'!T72</f>
        <v>45.14</v>
      </c>
      <c r="W71" s="12">
        <f>'Actual Values'!$A$13*'NOLH Designs (2)'!G72</f>
        <v>38.4</v>
      </c>
      <c r="X71" s="12">
        <f>'Actual Values'!$B$13*'NOLH Designs (2)'!H72</f>
        <v>48</v>
      </c>
      <c r="Y71" s="12">
        <f>'Actual Values'!$A$17*'NOLH Designs (2)'!Q72</f>
        <v>3.72</v>
      </c>
      <c r="Z71" s="12">
        <f>'Actual Values'!$B$17*'NOLH Designs (2)'!R72</f>
        <v>32.01</v>
      </c>
      <c r="AA71" s="12">
        <f>'Actual Values'!$C$17*'NOLH Designs (2)'!Q72</f>
        <v>1.86</v>
      </c>
      <c r="AB71" s="12">
        <f>'Actual Values'!$D$17*'NOLH Designs (2)'!R72</f>
        <v>14.549999999999999</v>
      </c>
      <c r="AC71" s="6">
        <v>0.71</v>
      </c>
      <c r="AD71" s="6">
        <v>0.22</v>
      </c>
      <c r="AE71" s="6">
        <v>0.23</v>
      </c>
      <c r="AF71" s="6">
        <v>0.76</v>
      </c>
      <c r="AG71" s="6">
        <v>0.35</v>
      </c>
      <c r="AH71" s="6">
        <v>0.25</v>
      </c>
      <c r="AI71" s="6">
        <v>0.13</v>
      </c>
      <c r="AJ71" s="6">
        <v>0.1</v>
      </c>
    </row>
    <row r="72" spans="1:36" x14ac:dyDescent="0.2">
      <c r="A72" s="8">
        <v>69</v>
      </c>
      <c r="B72" s="6">
        <f>'Actual Values'!$B$3*'NOLH Designs (2)'!B73</f>
        <v>5697216</v>
      </c>
      <c r="C72" s="6">
        <f>'Actual Values'!$B$5*'NOLH Designs (2)'!B73</f>
        <v>4998672</v>
      </c>
      <c r="D72" s="6">
        <f>'Actual Values'!$B$7*'NOLH Designs (2)'!B73</f>
        <v>2622915</v>
      </c>
      <c r="E72" s="6">
        <f>'Actual Values'!$B$9*'NOLH Designs (2)'!B73</f>
        <v>1959122.7</v>
      </c>
      <c r="F72" s="12">
        <f>'Actual Values'!$C$3*'NOLH Designs (2)'!C73</f>
        <v>60288.000000000051</v>
      </c>
      <c r="G72" s="12">
        <f>'Actual Values'!$C$3-'ExpValues Eq'!F72</f>
        <v>1145472</v>
      </c>
      <c r="H72" s="12">
        <f>F72+'Actual Values'!$D$3</f>
        <v>283288.00000000006</v>
      </c>
      <c r="I72" s="12">
        <f>'Actual Values'!$C$5*'NOLH Designs (2)'!D73</f>
        <v>370272.00000000012</v>
      </c>
      <c r="J72" s="12">
        <f>'Actual Values'!$C$5-'ExpValues Eq'!I72</f>
        <v>687647.99999999988</v>
      </c>
      <c r="K72" s="12">
        <f>I72+'Actual Values'!$D$5</f>
        <v>628272.00000000012</v>
      </c>
      <c r="L72" s="12">
        <f>'Actual Values'!$C$7*'NOLH Designs (2)'!E73</f>
        <v>177636.48000000004</v>
      </c>
      <c r="M72" s="12">
        <f>'Actual Values'!$C$7-'ExpValues Eq'!L72</f>
        <v>377477.51999999996</v>
      </c>
      <c r="N72" s="12">
        <f>L72+'Actual Values'!$D$7</f>
        <v>351241.48000000004</v>
      </c>
      <c r="O72" s="12">
        <f>'Actual Values'!$C$9*'NOLH Designs (2)'!F73</f>
        <v>116096.12000000001</v>
      </c>
      <c r="P72" s="12">
        <f>'Actual Values'!$C$9-'ExpValues Eq'!O72</f>
        <v>298532.88</v>
      </c>
      <c r="Q72" s="12">
        <f>O72+'Actual Values'!$D$9</f>
        <v>165071.12</v>
      </c>
      <c r="R72" s="12">
        <f>'Actual Values'!$A$21*'NOLH Designs (2)'!S73</f>
        <v>89.06</v>
      </c>
      <c r="S72" s="12">
        <f>'Actual Values'!$B$21*'NOLH Designs (2)'!S73</f>
        <v>152.57</v>
      </c>
      <c r="T72" s="12">
        <f>'Actual Values'!$C$21*'NOLH Designs (2)'!S73</f>
        <v>89.789999999999992</v>
      </c>
      <c r="U72" s="12">
        <f>'Actual Values'!$A$25*'NOLH Designs (2)'!T73</f>
        <v>42.000000000000007</v>
      </c>
      <c r="V72" s="12">
        <f>'Actual Values'!$B$25*'NOLH Designs (2)'!T73</f>
        <v>68.320000000000007</v>
      </c>
      <c r="W72" s="12">
        <f>'Actual Values'!$A$13*'NOLH Designs (2)'!G73</f>
        <v>23.700000000000003</v>
      </c>
      <c r="X72" s="12">
        <f>'Actual Values'!$B$13*'NOLH Designs (2)'!H73</f>
        <v>80.400000000000006</v>
      </c>
      <c r="Y72" s="12">
        <f>'Actual Values'!$A$17*'NOLH Designs (2)'!Q73</f>
        <v>3.08</v>
      </c>
      <c r="Z72" s="12">
        <f>'Actual Values'!$B$17*'NOLH Designs (2)'!R73</f>
        <v>31.349999999999998</v>
      </c>
      <c r="AA72" s="12">
        <f>'Actual Values'!$C$17*'NOLH Designs (2)'!Q73</f>
        <v>1.54</v>
      </c>
      <c r="AB72" s="12">
        <f>'Actual Values'!$D$17*'NOLH Designs (2)'!R73</f>
        <v>14.25</v>
      </c>
      <c r="AC72" s="6">
        <v>0.78</v>
      </c>
      <c r="AD72" s="6">
        <v>0.32</v>
      </c>
      <c r="AE72" s="6">
        <v>0.26</v>
      </c>
      <c r="AF72" s="6">
        <v>0.78</v>
      </c>
      <c r="AG72" s="6">
        <v>0.28999999999999998</v>
      </c>
      <c r="AH72" s="6">
        <v>0.3</v>
      </c>
      <c r="AI72" s="6">
        <v>0.1</v>
      </c>
      <c r="AJ72" s="6">
        <v>0.17</v>
      </c>
    </row>
    <row r="73" spans="1:36" x14ac:dyDescent="0.2">
      <c r="A73" s="8">
        <v>70</v>
      </c>
      <c r="B73" s="6">
        <f>'Actual Values'!$B$3*'NOLH Designs (2)'!B74</f>
        <v>7912800</v>
      </c>
      <c r="C73" s="6">
        <f>'Actual Values'!$B$5*'NOLH Designs (2)'!B74</f>
        <v>6942600</v>
      </c>
      <c r="D73" s="6">
        <f>'Actual Values'!$B$7*'NOLH Designs (2)'!B74</f>
        <v>3642937.5</v>
      </c>
      <c r="E73" s="6">
        <f>'Actual Values'!$B$9*'NOLH Designs (2)'!B74</f>
        <v>2721003.75</v>
      </c>
      <c r="F73" s="12">
        <f>'Actual Values'!$C$3*'NOLH Designs (2)'!C74</f>
        <v>361728.00000000006</v>
      </c>
      <c r="G73" s="12">
        <f>'Actual Values'!$C$3-'ExpValues Eq'!F73</f>
        <v>844032</v>
      </c>
      <c r="H73" s="12">
        <f>F73+'Actual Values'!$D$3</f>
        <v>584728</v>
      </c>
      <c r="I73" s="12">
        <f>'Actual Values'!$C$5*'NOLH Designs (2)'!D74</f>
        <v>232742.39999999997</v>
      </c>
      <c r="J73" s="12">
        <f>'Actual Values'!$C$5-'ExpValues Eq'!I73</f>
        <v>825177.60000000009</v>
      </c>
      <c r="K73" s="12">
        <f>I73+'Actual Values'!$D$5</f>
        <v>490742.39999999997</v>
      </c>
      <c r="L73" s="12">
        <f>'Actual Values'!$C$7*'NOLH Designs (2)'!E74</f>
        <v>210943.31999999995</v>
      </c>
      <c r="M73" s="12">
        <f>'Actual Values'!$C$7-'ExpValues Eq'!L73</f>
        <v>344170.68000000005</v>
      </c>
      <c r="N73" s="12">
        <f>L73+'Actual Values'!$D$7</f>
        <v>384548.31999999995</v>
      </c>
      <c r="O73" s="12">
        <f>'Actual Values'!$C$9*'NOLH Designs (2)'!F74</f>
        <v>186583.05</v>
      </c>
      <c r="P73" s="12">
        <f>'Actual Values'!$C$9-'ExpValues Eq'!O73</f>
        <v>228045.95</v>
      </c>
      <c r="Q73" s="12">
        <f>O73+'Actual Values'!$D$9</f>
        <v>235558.05</v>
      </c>
      <c r="R73" s="12">
        <f>'Actual Values'!$A$21*'NOLH Designs (2)'!S74</f>
        <v>61</v>
      </c>
      <c r="S73" s="12">
        <f>'Actual Values'!$B$21*'NOLH Designs (2)'!S74</f>
        <v>104.5</v>
      </c>
      <c r="T73" s="12">
        <f>'Actual Values'!$C$21*'NOLH Designs (2)'!S74</f>
        <v>61.5</v>
      </c>
      <c r="U73" s="12">
        <f>'Actual Values'!$A$25*'NOLH Designs (2)'!T74</f>
        <v>34.5</v>
      </c>
      <c r="V73" s="12">
        <f>'Actual Values'!$B$25*'NOLH Designs (2)'!T74</f>
        <v>56.120000000000005</v>
      </c>
      <c r="W73" s="12">
        <f>'Actual Values'!$A$13*'NOLH Designs (2)'!G74</f>
        <v>29.4</v>
      </c>
      <c r="X73" s="12">
        <f>'Actual Values'!$B$13*'NOLH Designs (2)'!H74</f>
        <v>66.600000000000009</v>
      </c>
      <c r="Y73" s="12">
        <f>'Actual Values'!$A$17*'NOLH Designs (2)'!Q74</f>
        <v>4.12</v>
      </c>
      <c r="Z73" s="12">
        <f>'Actual Values'!$B$17*'NOLH Designs (2)'!R74</f>
        <v>26.73</v>
      </c>
      <c r="AA73" s="12">
        <f>'Actual Values'!$C$17*'NOLH Designs (2)'!Q74</f>
        <v>2.06</v>
      </c>
      <c r="AB73" s="12">
        <f>'Actual Values'!$D$17*'NOLH Designs (2)'!R74</f>
        <v>12.15</v>
      </c>
      <c r="AC73" s="6">
        <v>0.62</v>
      </c>
      <c r="AD73" s="6">
        <v>0.1</v>
      </c>
      <c r="AE73" s="6">
        <v>0.21</v>
      </c>
      <c r="AF73" s="6">
        <v>0.87</v>
      </c>
      <c r="AG73" s="6">
        <v>0.1</v>
      </c>
      <c r="AH73" s="6">
        <v>0.14000000000000001</v>
      </c>
      <c r="AI73" s="6">
        <v>0.25</v>
      </c>
      <c r="AJ73" s="6">
        <v>0.21</v>
      </c>
    </row>
    <row r="74" spans="1:36" x14ac:dyDescent="0.2">
      <c r="A74" s="8">
        <v>71</v>
      </c>
      <c r="B74" s="6">
        <f>'Actual Values'!$B$3*'NOLH Designs (2)'!B75</f>
        <v>5697216</v>
      </c>
      <c r="C74" s="6">
        <f>'Actual Values'!$B$5*'NOLH Designs (2)'!B75</f>
        <v>4998672</v>
      </c>
      <c r="D74" s="6">
        <f>'Actual Values'!$B$7*'NOLH Designs (2)'!B75</f>
        <v>2622915</v>
      </c>
      <c r="E74" s="6">
        <f>'Actual Values'!$B$9*'NOLH Designs (2)'!B75</f>
        <v>1959122.7</v>
      </c>
      <c r="F74" s="12">
        <f>'Actual Values'!$C$3*'NOLH Designs (2)'!C75</f>
        <v>349670.40000000002</v>
      </c>
      <c r="G74" s="12">
        <f>'Actual Values'!$C$3-'ExpValues Eq'!F74</f>
        <v>856089.59999999998</v>
      </c>
      <c r="H74" s="12">
        <f>F74+'Actual Values'!$D$3</f>
        <v>572670.4</v>
      </c>
      <c r="I74" s="12">
        <f>'Actual Values'!$C$5*'NOLH Designs (2)'!D75</f>
        <v>158687.99999999991</v>
      </c>
      <c r="J74" s="12">
        <f>'Actual Values'!$C$5-'ExpValues Eq'!I74</f>
        <v>899232.00000000012</v>
      </c>
      <c r="K74" s="12">
        <f>I74+'Actual Values'!$D$5</f>
        <v>416687.99999999988</v>
      </c>
      <c r="L74" s="12">
        <f>'Actual Values'!$C$7*'NOLH Designs (2)'!E75</f>
        <v>277557</v>
      </c>
      <c r="M74" s="12">
        <f>'Actual Values'!$C$7-'ExpValues Eq'!L74</f>
        <v>277557</v>
      </c>
      <c r="N74" s="12">
        <f>L74+'Actual Values'!$D$7</f>
        <v>451162</v>
      </c>
      <c r="O74" s="12">
        <f>'Actual Values'!$C$9*'NOLH Designs (2)'!F75</f>
        <v>124388.70000000001</v>
      </c>
      <c r="P74" s="12">
        <f>'Actual Values'!$C$9-'ExpValues Eq'!O74</f>
        <v>290240.3</v>
      </c>
      <c r="Q74" s="12">
        <f>O74+'Actual Values'!$D$9</f>
        <v>173363.7</v>
      </c>
      <c r="R74" s="12">
        <f>'Actual Values'!$A$21*'NOLH Designs (2)'!S75</f>
        <v>41.480000000000004</v>
      </c>
      <c r="S74" s="12">
        <f>'Actual Values'!$B$21*'NOLH Designs (2)'!S75</f>
        <v>71.06</v>
      </c>
      <c r="T74" s="12">
        <f>'Actual Values'!$C$21*'NOLH Designs (2)'!S75</f>
        <v>41.82</v>
      </c>
      <c r="U74" s="12">
        <f>'Actual Values'!$A$25*'NOLH Designs (2)'!T75</f>
        <v>32.25</v>
      </c>
      <c r="V74" s="12">
        <f>'Actual Values'!$B$25*'NOLH Designs (2)'!T75</f>
        <v>52.46</v>
      </c>
      <c r="W74" s="12">
        <f>'Actual Values'!$A$13*'NOLH Designs (2)'!G75</f>
        <v>34.199999999999996</v>
      </c>
      <c r="X74" s="12">
        <f>'Actual Values'!$B$13*'NOLH Designs (2)'!H75</f>
        <v>55.800000000000004</v>
      </c>
      <c r="Y74" s="12">
        <f>'Actual Values'!$A$17*'NOLH Designs (2)'!Q75</f>
        <v>4.32</v>
      </c>
      <c r="Z74" s="12">
        <f>'Actual Values'!$B$17*'NOLH Designs (2)'!R75</f>
        <v>26.07</v>
      </c>
      <c r="AA74" s="12">
        <f>'Actual Values'!$C$17*'NOLH Designs (2)'!Q75</f>
        <v>2.16</v>
      </c>
      <c r="AB74" s="12">
        <f>'Actual Values'!$D$17*'NOLH Designs (2)'!R75</f>
        <v>11.850000000000001</v>
      </c>
      <c r="AC74" s="6">
        <v>0.89</v>
      </c>
      <c r="AD74" s="6">
        <v>0.33</v>
      </c>
      <c r="AE74" s="6">
        <v>0.36</v>
      </c>
      <c r="AF74" s="6">
        <v>0.85</v>
      </c>
      <c r="AG74" s="6">
        <v>0.1</v>
      </c>
      <c r="AH74" s="6">
        <v>0.21</v>
      </c>
      <c r="AI74" s="6">
        <v>0.2</v>
      </c>
      <c r="AJ74" s="6">
        <v>0.24</v>
      </c>
    </row>
    <row r="75" spans="1:36" x14ac:dyDescent="0.2">
      <c r="A75" s="8">
        <v>72</v>
      </c>
      <c r="B75" s="6">
        <f>'Actual Values'!$B$3*'NOLH Designs (2)'!B76</f>
        <v>6646752</v>
      </c>
      <c r="C75" s="6">
        <f>'Actual Values'!$B$5*'NOLH Designs (2)'!B76</f>
        <v>5831784</v>
      </c>
      <c r="D75" s="6">
        <f>'Actual Values'!$B$7*'NOLH Designs (2)'!B76</f>
        <v>3060067.5</v>
      </c>
      <c r="E75" s="6">
        <f>'Actual Values'!$B$9*'NOLH Designs (2)'!B76</f>
        <v>2285643.15</v>
      </c>
      <c r="F75" s="12">
        <f>'Actual Values'!$C$3*'NOLH Designs (2)'!C76</f>
        <v>0</v>
      </c>
      <c r="G75" s="12">
        <f>'Actual Values'!$C$3-'ExpValues Eq'!F75</f>
        <v>1205760</v>
      </c>
      <c r="H75" s="12">
        <f>F75+'Actual Values'!$D$3</f>
        <v>223000</v>
      </c>
      <c r="I75" s="12">
        <f>'Actual Values'!$C$5*'NOLH Designs (2)'!D76</f>
        <v>126950.40000000011</v>
      </c>
      <c r="J75" s="12">
        <f>'Actual Values'!$C$5-'ExpValues Eq'!I75</f>
        <v>930969.59999999986</v>
      </c>
      <c r="K75" s="12">
        <f>I75+'Actual Values'!$D$5</f>
        <v>384950.40000000014</v>
      </c>
      <c r="L75" s="12">
        <f>'Actual Values'!$C$7*'NOLH Designs (2)'!E76</f>
        <v>199841.04000000007</v>
      </c>
      <c r="M75" s="12">
        <f>'Actual Values'!$C$7-'ExpValues Eq'!L75</f>
        <v>355272.95999999996</v>
      </c>
      <c r="N75" s="12">
        <f>L75+'Actual Values'!$D$7</f>
        <v>373446.04000000004</v>
      </c>
      <c r="O75" s="12">
        <f>'Actual Values'!$C$9*'NOLH Designs (2)'!F76</f>
        <v>174144.17999999996</v>
      </c>
      <c r="P75" s="12">
        <f>'Actual Values'!$C$9-'ExpValues Eq'!O75</f>
        <v>240484.82000000004</v>
      </c>
      <c r="Q75" s="12">
        <f>O75+'Actual Values'!$D$9</f>
        <v>223119.17999999996</v>
      </c>
      <c r="R75" s="12">
        <f>'Actual Values'!$A$21*'NOLH Designs (2)'!S76</f>
        <v>90.28</v>
      </c>
      <c r="S75" s="12">
        <f>'Actual Values'!$B$21*'NOLH Designs (2)'!S76</f>
        <v>154.66</v>
      </c>
      <c r="T75" s="12">
        <f>'Actual Values'!$C$21*'NOLH Designs (2)'!S76</f>
        <v>91.02</v>
      </c>
      <c r="U75" s="12">
        <f>'Actual Values'!$A$25*'NOLH Designs (2)'!T76</f>
        <v>22.5</v>
      </c>
      <c r="V75" s="12">
        <f>'Actual Values'!$B$25*'NOLH Designs (2)'!T76</f>
        <v>36.6</v>
      </c>
      <c r="W75" s="12">
        <f>'Actual Values'!$A$13*'NOLH Designs (2)'!G76</f>
        <v>36.6</v>
      </c>
      <c r="X75" s="12">
        <f>'Actual Values'!$B$13*'NOLH Designs (2)'!H76</f>
        <v>72.599999999999994</v>
      </c>
      <c r="Y75" s="12">
        <f>'Actual Values'!$A$17*'NOLH Designs (2)'!Q76</f>
        <v>4.3600000000000003</v>
      </c>
      <c r="Z75" s="12">
        <f>'Actual Values'!$B$17*'NOLH Designs (2)'!R76</f>
        <v>26.07</v>
      </c>
      <c r="AA75" s="12">
        <f>'Actual Values'!$C$17*'NOLH Designs (2)'!Q76</f>
        <v>2.1800000000000002</v>
      </c>
      <c r="AB75" s="12">
        <f>'Actual Values'!$D$17*'NOLH Designs (2)'!R76</f>
        <v>11.850000000000001</v>
      </c>
      <c r="AC75" s="6">
        <v>0.62</v>
      </c>
      <c r="AD75" s="6">
        <v>0.11</v>
      </c>
      <c r="AE75" s="6">
        <v>0.18</v>
      </c>
      <c r="AF75" s="6">
        <v>0.69</v>
      </c>
      <c r="AG75" s="6">
        <v>0.37</v>
      </c>
      <c r="AH75" s="6">
        <v>0.4</v>
      </c>
      <c r="AI75" s="6">
        <v>0.28000000000000003</v>
      </c>
      <c r="AJ75" s="6">
        <v>0.21</v>
      </c>
    </row>
    <row r="76" spans="1:36" x14ac:dyDescent="0.2">
      <c r="A76" s="8">
        <v>73</v>
      </c>
      <c r="B76" s="6">
        <f>'Actual Values'!$B$3*'NOLH Designs (2)'!B77</f>
        <v>6077030.3999999994</v>
      </c>
      <c r="C76" s="6">
        <f>'Actual Values'!$B$5*'NOLH Designs (2)'!B77</f>
        <v>5331916.7999999998</v>
      </c>
      <c r="D76" s="6">
        <f>'Actual Values'!$B$7*'NOLH Designs (2)'!B77</f>
        <v>2797776</v>
      </c>
      <c r="E76" s="6">
        <f>'Actual Values'!$B$9*'NOLH Designs (2)'!B77</f>
        <v>2089730.88</v>
      </c>
      <c r="F76" s="12">
        <f>'Actual Values'!$C$3*'NOLH Designs (2)'!C77</f>
        <v>180863.99999999988</v>
      </c>
      <c r="G76" s="12">
        <f>'Actual Values'!$C$3-'ExpValues Eq'!F76</f>
        <v>1024896.0000000001</v>
      </c>
      <c r="H76" s="12">
        <f>F76+'Actual Values'!$D$3</f>
        <v>403863.99999999988</v>
      </c>
      <c r="I76" s="12">
        <f>'Actual Values'!$C$5*'NOLH Designs (2)'!D77</f>
        <v>52896.000000000044</v>
      </c>
      <c r="J76" s="12">
        <f>'Actual Values'!$C$5-'ExpValues Eq'!I76</f>
        <v>1005024</v>
      </c>
      <c r="K76" s="12">
        <f>I76+'Actual Values'!$D$5</f>
        <v>310896.00000000006</v>
      </c>
      <c r="L76" s="12">
        <f>'Actual Values'!$C$7*'NOLH Designs (2)'!E77</f>
        <v>260903.58</v>
      </c>
      <c r="M76" s="12">
        <f>'Actual Values'!$C$7-'ExpValues Eq'!L76</f>
        <v>294210.42000000004</v>
      </c>
      <c r="N76" s="12">
        <f>L76+'Actual Values'!$D$7</f>
        <v>434508.57999999996</v>
      </c>
      <c r="O76" s="12">
        <f>'Actual Values'!$C$9*'NOLH Designs (2)'!F77</f>
        <v>136827.57000000004</v>
      </c>
      <c r="P76" s="12">
        <f>'Actual Values'!$C$9-'ExpValues Eq'!O76</f>
        <v>277801.42999999993</v>
      </c>
      <c r="Q76" s="12">
        <f>O76+'Actual Values'!$D$9</f>
        <v>185802.57000000004</v>
      </c>
      <c r="R76" s="12">
        <f>'Actual Values'!$A$21*'NOLH Designs (2)'!S77</f>
        <v>113.46000000000001</v>
      </c>
      <c r="S76" s="12">
        <f>'Actual Values'!$B$21*'NOLH Designs (2)'!S77</f>
        <v>194.37</v>
      </c>
      <c r="T76" s="12">
        <f>'Actual Values'!$C$21*'NOLH Designs (2)'!S77</f>
        <v>114.39</v>
      </c>
      <c r="U76" s="12">
        <f>'Actual Values'!$A$25*'NOLH Designs (2)'!T77</f>
        <v>20.25</v>
      </c>
      <c r="V76" s="12">
        <f>'Actual Values'!$B$25*'NOLH Designs (2)'!T77</f>
        <v>32.940000000000005</v>
      </c>
      <c r="W76" s="12">
        <f>'Actual Values'!$A$13*'NOLH Designs (2)'!G77</f>
        <v>19.8</v>
      </c>
      <c r="X76" s="12">
        <f>'Actual Values'!$B$13*'NOLH Designs (2)'!H77</f>
        <v>42.599999999999994</v>
      </c>
      <c r="Y76" s="12">
        <f>'Actual Values'!$A$17*'NOLH Designs (2)'!Q77</f>
        <v>4.16</v>
      </c>
      <c r="Z76" s="12">
        <f>'Actual Values'!$B$17*'NOLH Designs (2)'!R77</f>
        <v>33.660000000000004</v>
      </c>
      <c r="AA76" s="12">
        <f>'Actual Values'!$C$17*'NOLH Designs (2)'!Q77</f>
        <v>2.08</v>
      </c>
      <c r="AB76" s="12">
        <f>'Actual Values'!$D$17*'NOLH Designs (2)'!R77</f>
        <v>15.3</v>
      </c>
      <c r="AC76" s="6">
        <v>0.9</v>
      </c>
      <c r="AD76" s="6">
        <v>0.31</v>
      </c>
      <c r="AE76" s="6">
        <v>0.34</v>
      </c>
      <c r="AF76" s="6">
        <v>0.75</v>
      </c>
      <c r="AG76" s="6">
        <v>0.37</v>
      </c>
      <c r="AH76" s="6">
        <v>0.35</v>
      </c>
      <c r="AI76" s="6">
        <v>0.24</v>
      </c>
      <c r="AJ76" s="6">
        <v>0.23</v>
      </c>
    </row>
    <row r="77" spans="1:36" x14ac:dyDescent="0.2">
      <c r="A77" s="8">
        <v>74</v>
      </c>
      <c r="B77" s="6">
        <f>'Actual Values'!$B$3*'NOLH Designs (2)'!B78</f>
        <v>7849497.5999999996</v>
      </c>
      <c r="C77" s="6">
        <f>'Actual Values'!$B$5*'NOLH Designs (2)'!B78</f>
        <v>6887059.2000000002</v>
      </c>
      <c r="D77" s="6">
        <f>'Actual Values'!$B$7*'NOLH Designs (2)'!B78</f>
        <v>3613794</v>
      </c>
      <c r="E77" s="6">
        <f>'Actual Values'!$B$9*'NOLH Designs (2)'!B78</f>
        <v>2699235.72</v>
      </c>
      <c r="F77" s="12">
        <f>'Actual Values'!$C$3*'NOLH Designs (2)'!C78</f>
        <v>578764.79999999993</v>
      </c>
      <c r="G77" s="12">
        <f>'Actual Values'!$C$3-'ExpValues Eq'!F77</f>
        <v>626995.20000000007</v>
      </c>
      <c r="H77" s="12">
        <f>F77+'Actual Values'!$D$3</f>
        <v>801764.79999999993</v>
      </c>
      <c r="I77" s="12">
        <f>'Actual Values'!$C$5*'NOLH Designs (2)'!D78</f>
        <v>391430.40000000014</v>
      </c>
      <c r="J77" s="12">
        <f>'Actual Values'!$C$5-'ExpValues Eq'!I77</f>
        <v>666489.59999999986</v>
      </c>
      <c r="K77" s="12">
        <f>I77+'Actual Values'!$D$5</f>
        <v>649430.40000000014</v>
      </c>
      <c r="L77" s="12">
        <f>'Actual Values'!$C$7*'NOLH Designs (2)'!E78</f>
        <v>222045.59999999995</v>
      </c>
      <c r="M77" s="12">
        <f>'Actual Values'!$C$7-'ExpValues Eq'!L77</f>
        <v>333068.40000000002</v>
      </c>
      <c r="N77" s="12">
        <f>L77+'Actual Values'!$D$7</f>
        <v>395650.6</v>
      </c>
      <c r="O77" s="12">
        <f>'Actual Values'!$C$9*'NOLH Designs (2)'!F78</f>
        <v>165851.59999999998</v>
      </c>
      <c r="P77" s="12">
        <f>'Actual Values'!$C$9-'ExpValues Eq'!O77</f>
        <v>248777.40000000002</v>
      </c>
      <c r="Q77" s="12">
        <f>O77+'Actual Values'!$D$9</f>
        <v>214826.59999999998</v>
      </c>
      <c r="R77" s="12">
        <f>'Actual Values'!$A$21*'NOLH Designs (2)'!S78</f>
        <v>32.940000000000005</v>
      </c>
      <c r="S77" s="12">
        <f>'Actual Values'!$B$21*'NOLH Designs (2)'!S78</f>
        <v>56.430000000000007</v>
      </c>
      <c r="T77" s="12">
        <f>'Actual Values'!$C$21*'NOLH Designs (2)'!S78</f>
        <v>33.21</v>
      </c>
      <c r="U77" s="12">
        <f>'Actual Values'!$A$25*'NOLH Designs (2)'!T78</f>
        <v>56.25</v>
      </c>
      <c r="V77" s="12">
        <f>'Actual Values'!$B$25*'NOLH Designs (2)'!T78</f>
        <v>91.5</v>
      </c>
      <c r="W77" s="12">
        <f>'Actual Values'!$A$13*'NOLH Designs (2)'!G78</f>
        <v>18.600000000000001</v>
      </c>
      <c r="X77" s="12">
        <f>'Actual Values'!$B$13*'NOLH Designs (2)'!H78</f>
        <v>49.199999999999996</v>
      </c>
      <c r="Y77" s="12">
        <f>'Actual Values'!$A$17*'NOLH Designs (2)'!Q78</f>
        <v>3.4</v>
      </c>
      <c r="Z77" s="12">
        <f>'Actual Values'!$B$17*'NOLH Designs (2)'!R78</f>
        <v>28.38</v>
      </c>
      <c r="AA77" s="12">
        <f>'Actual Values'!$C$17*'NOLH Designs (2)'!Q78</f>
        <v>1.7</v>
      </c>
      <c r="AB77" s="12">
        <f>'Actual Values'!$D$17*'NOLH Designs (2)'!R78</f>
        <v>12.9</v>
      </c>
      <c r="AC77" s="6">
        <v>0.77</v>
      </c>
      <c r="AD77" s="6">
        <v>0.18</v>
      </c>
      <c r="AE77" s="6">
        <v>0.14000000000000001</v>
      </c>
      <c r="AF77" s="6">
        <v>0.68</v>
      </c>
      <c r="AG77" s="6">
        <v>0.32</v>
      </c>
      <c r="AH77" s="6">
        <v>0.22</v>
      </c>
      <c r="AI77" s="6">
        <v>0.25</v>
      </c>
      <c r="AJ77" s="6">
        <v>0.11</v>
      </c>
    </row>
    <row r="78" spans="1:36" x14ac:dyDescent="0.2">
      <c r="A78" s="8">
        <v>75</v>
      </c>
      <c r="B78" s="6">
        <f>'Actual Values'!$B$3*'NOLH Designs (2)'!B79</f>
        <v>4810982.4000000004</v>
      </c>
      <c r="C78" s="6">
        <f>'Actual Values'!$B$5*'NOLH Designs (2)'!B79</f>
        <v>4221100.8</v>
      </c>
      <c r="D78" s="6">
        <f>'Actual Values'!$B$7*'NOLH Designs (2)'!B79</f>
        <v>2214906</v>
      </c>
      <c r="E78" s="6">
        <f>'Actual Values'!$B$9*'NOLH Designs (2)'!B79</f>
        <v>1654370.28</v>
      </c>
      <c r="F78" s="12">
        <f>'Actual Values'!$C$3*'NOLH Designs (2)'!C79</f>
        <v>554649.59999999998</v>
      </c>
      <c r="G78" s="12">
        <f>'Actual Values'!$C$3-'ExpValues Eq'!F78</f>
        <v>651110.40000000002</v>
      </c>
      <c r="H78" s="12">
        <f>F78+'Actual Values'!$D$3</f>
        <v>777649.6</v>
      </c>
      <c r="I78" s="12">
        <f>'Actual Values'!$C$5*'NOLH Designs (2)'!D79</f>
        <v>412588.79999999987</v>
      </c>
      <c r="J78" s="12">
        <f>'Actual Values'!$C$5-'ExpValues Eq'!I78</f>
        <v>645331.20000000019</v>
      </c>
      <c r="K78" s="12">
        <f>I78+'Actual Values'!$D$5</f>
        <v>670588.79999999981</v>
      </c>
      <c r="L78" s="12">
        <f>'Actual Values'!$C$7*'NOLH Designs (2)'!E79</f>
        <v>205392.18000000005</v>
      </c>
      <c r="M78" s="12">
        <f>'Actual Values'!$C$7-'ExpValues Eq'!L78</f>
        <v>349721.81999999995</v>
      </c>
      <c r="N78" s="12">
        <f>L78+'Actual Values'!$D$7</f>
        <v>378997.18000000005</v>
      </c>
      <c r="O78" s="12">
        <f>'Actual Values'!$C$9*'NOLH Designs (2)'!F79</f>
        <v>182436.75999999998</v>
      </c>
      <c r="P78" s="12">
        <f>'Actual Values'!$C$9-'ExpValues Eq'!O78</f>
        <v>232192.24000000002</v>
      </c>
      <c r="Q78" s="12">
        <f>O78+'Actual Values'!$D$9</f>
        <v>231411.75999999998</v>
      </c>
      <c r="R78" s="12">
        <f>'Actual Values'!$A$21*'NOLH Designs (2)'!S79</f>
        <v>58.559999999999995</v>
      </c>
      <c r="S78" s="12">
        <f>'Actual Values'!$B$21*'NOLH Designs (2)'!S79</f>
        <v>100.32</v>
      </c>
      <c r="T78" s="12">
        <f>'Actual Values'!$C$21*'NOLH Designs (2)'!S79</f>
        <v>59.04</v>
      </c>
      <c r="U78" s="12">
        <f>'Actual Values'!$A$25*'NOLH Designs (2)'!T79</f>
        <v>63</v>
      </c>
      <c r="V78" s="12">
        <f>'Actual Values'!$B$25*'NOLH Designs (2)'!T79</f>
        <v>102.47999999999999</v>
      </c>
      <c r="W78" s="12">
        <f>'Actual Values'!$A$13*'NOLH Designs (2)'!G79</f>
        <v>39.6</v>
      </c>
      <c r="X78" s="12">
        <f>'Actual Values'!$B$13*'NOLH Designs (2)'!H79</f>
        <v>74.400000000000006</v>
      </c>
      <c r="Y78" s="12">
        <f>'Actual Values'!$A$17*'NOLH Designs (2)'!Q79</f>
        <v>4.08</v>
      </c>
      <c r="Z78" s="12">
        <f>'Actual Values'!$B$17*'NOLH Designs (2)'!R79</f>
        <v>29.37</v>
      </c>
      <c r="AA78" s="12">
        <f>'Actual Values'!$C$17*'NOLH Designs (2)'!Q79</f>
        <v>2.04</v>
      </c>
      <c r="AB78" s="12">
        <f>'Actual Values'!$D$17*'NOLH Designs (2)'!R79</f>
        <v>13.35</v>
      </c>
      <c r="AC78" s="6">
        <v>0.74</v>
      </c>
      <c r="AD78" s="6">
        <v>0.34</v>
      </c>
      <c r="AE78" s="6">
        <v>0.36</v>
      </c>
      <c r="AF78" s="6">
        <v>0.75</v>
      </c>
      <c r="AG78" s="6">
        <v>0.36</v>
      </c>
      <c r="AH78" s="6">
        <v>0.19</v>
      </c>
      <c r="AI78" s="6">
        <v>0.28000000000000003</v>
      </c>
      <c r="AJ78" s="6">
        <v>0.12</v>
      </c>
    </row>
    <row r="79" spans="1:36" x14ac:dyDescent="0.2">
      <c r="A79" s="8">
        <v>76</v>
      </c>
      <c r="B79" s="6">
        <f>'Actual Values'!$B$3*'NOLH Designs (2)'!B80</f>
        <v>7786195.2000000002</v>
      </c>
      <c r="C79" s="6">
        <f>'Actual Values'!$B$5*'NOLH Designs (2)'!B80</f>
        <v>6831518.3999999994</v>
      </c>
      <c r="D79" s="6">
        <f>'Actual Values'!$B$7*'NOLH Designs (2)'!B80</f>
        <v>3584650.5</v>
      </c>
      <c r="E79" s="6">
        <f>'Actual Values'!$B$9*'NOLH Designs (2)'!B80</f>
        <v>2677467.69</v>
      </c>
      <c r="F79" s="12">
        <f>'Actual Values'!$C$3*'NOLH Designs (2)'!C80</f>
        <v>12057.600000000011</v>
      </c>
      <c r="G79" s="12">
        <f>'Actual Values'!$C$3-'ExpValues Eq'!F79</f>
        <v>1193702.3999999999</v>
      </c>
      <c r="H79" s="12">
        <f>F79+'Actual Values'!$D$3</f>
        <v>235057.6</v>
      </c>
      <c r="I79" s="12">
        <f>'Actual Values'!$C$5*'NOLH Designs (2)'!D80</f>
        <v>275059.20000000001</v>
      </c>
      <c r="J79" s="12">
        <f>'Actual Values'!$C$5-'ExpValues Eq'!I79</f>
        <v>782860.80000000005</v>
      </c>
      <c r="K79" s="12">
        <f>I79+'Actual Values'!$D$5</f>
        <v>533059.19999999995</v>
      </c>
      <c r="L79" s="12">
        <f>'Actual Values'!$C$7*'NOLH Designs (2)'!E80</f>
        <v>199841.04000000007</v>
      </c>
      <c r="M79" s="12">
        <f>'Actual Values'!$C$7-'ExpValues Eq'!L79</f>
        <v>355272.95999999996</v>
      </c>
      <c r="N79" s="12">
        <f>L79+'Actual Values'!$D$7</f>
        <v>373446.04000000004</v>
      </c>
      <c r="O79" s="12">
        <f>'Actual Values'!$C$9*'NOLH Designs (2)'!F80</f>
        <v>140973.86000000004</v>
      </c>
      <c r="P79" s="12">
        <f>'Actual Values'!$C$9-'ExpValues Eq'!O79</f>
        <v>273655.13999999996</v>
      </c>
      <c r="Q79" s="12">
        <f>O79+'Actual Values'!$D$9</f>
        <v>189948.86000000004</v>
      </c>
      <c r="R79" s="12">
        <f>'Actual Values'!$A$21*'NOLH Designs (2)'!S80</f>
        <v>102.47999999999999</v>
      </c>
      <c r="S79" s="12">
        <f>'Actual Values'!$B$21*'NOLH Designs (2)'!S80</f>
        <v>175.56</v>
      </c>
      <c r="T79" s="12">
        <f>'Actual Values'!$C$21*'NOLH Designs (2)'!S80</f>
        <v>103.32</v>
      </c>
      <c r="U79" s="12">
        <f>'Actual Values'!$A$25*'NOLH Designs (2)'!T80</f>
        <v>58.5</v>
      </c>
      <c r="V79" s="12">
        <f>'Actual Values'!$B$25*'NOLH Designs (2)'!T80</f>
        <v>95.16</v>
      </c>
      <c r="W79" s="12">
        <f>'Actual Values'!$A$13*'NOLH Designs (2)'!G80</f>
        <v>40.200000000000003</v>
      </c>
      <c r="X79" s="12">
        <f>'Actual Values'!$B$13*'NOLH Designs (2)'!H80</f>
        <v>46.800000000000004</v>
      </c>
      <c r="Y79" s="12">
        <f>'Actual Values'!$A$17*'NOLH Designs (2)'!Q80</f>
        <v>3.12</v>
      </c>
      <c r="Z79" s="12">
        <f>'Actual Values'!$B$17*'NOLH Designs (2)'!R80</f>
        <v>29.37</v>
      </c>
      <c r="AA79" s="12">
        <f>'Actual Values'!$C$17*'NOLH Designs (2)'!Q80</f>
        <v>1.56</v>
      </c>
      <c r="AB79" s="12">
        <f>'Actual Values'!$D$17*'NOLH Designs (2)'!R80</f>
        <v>13.35</v>
      </c>
      <c r="AC79" s="6">
        <v>0.83</v>
      </c>
      <c r="AD79" s="6">
        <v>0.21</v>
      </c>
      <c r="AE79" s="6">
        <v>0.15</v>
      </c>
      <c r="AF79" s="6">
        <v>0.85</v>
      </c>
      <c r="AG79" s="6">
        <v>0.24</v>
      </c>
      <c r="AH79" s="6">
        <v>0.32</v>
      </c>
      <c r="AI79" s="6">
        <v>0.25</v>
      </c>
      <c r="AJ79" s="6">
        <v>0.15</v>
      </c>
    </row>
    <row r="80" spans="1:36" x14ac:dyDescent="0.2">
      <c r="A80" s="8">
        <v>77</v>
      </c>
      <c r="B80" s="6">
        <f>'Actual Values'!$B$3*'NOLH Designs (2)'!B81</f>
        <v>5000889.6000000006</v>
      </c>
      <c r="C80" s="6">
        <f>'Actual Values'!$B$5*'NOLH Designs (2)'!B81</f>
        <v>4387723.2</v>
      </c>
      <c r="D80" s="6">
        <f>'Actual Values'!$B$7*'NOLH Designs (2)'!B81</f>
        <v>2302336.5</v>
      </c>
      <c r="E80" s="6">
        <f>'Actual Values'!$B$9*'NOLH Designs (2)'!B81</f>
        <v>1719674.37</v>
      </c>
      <c r="F80" s="12">
        <f>'Actual Values'!$C$3*'NOLH Designs (2)'!C81</f>
        <v>12057.600000000011</v>
      </c>
      <c r="G80" s="12">
        <f>'Actual Values'!$C$3-'ExpValues Eq'!F80</f>
        <v>1193702.3999999999</v>
      </c>
      <c r="H80" s="12">
        <f>F80+'Actual Values'!$D$3</f>
        <v>235057.6</v>
      </c>
      <c r="I80" s="12">
        <f>'Actual Values'!$C$5*'NOLH Designs (2)'!D81</f>
        <v>402009.59999999986</v>
      </c>
      <c r="J80" s="12">
        <f>'Actual Values'!$C$5-'ExpValues Eq'!I80</f>
        <v>655910.40000000014</v>
      </c>
      <c r="K80" s="12">
        <f>I80+'Actual Values'!$D$5</f>
        <v>660009.59999999986</v>
      </c>
      <c r="L80" s="12">
        <f>'Actual Values'!$C$7*'NOLH Designs (2)'!E81</f>
        <v>172085.34000000003</v>
      </c>
      <c r="M80" s="12">
        <f>'Actual Values'!$C$7-'ExpValues Eq'!L80</f>
        <v>383028.66</v>
      </c>
      <c r="N80" s="12">
        <f>L80+'Actual Values'!$D$7</f>
        <v>345690.34</v>
      </c>
      <c r="O80" s="12">
        <f>'Actual Values'!$C$9*'NOLH Designs (2)'!F81</f>
        <v>178290.46999999997</v>
      </c>
      <c r="P80" s="12">
        <f>'Actual Values'!$C$9-'ExpValues Eq'!O80</f>
        <v>236338.53000000003</v>
      </c>
      <c r="Q80" s="12">
        <f>O80+'Actual Values'!$D$9</f>
        <v>227265.46999999997</v>
      </c>
      <c r="R80" s="12">
        <f>'Actual Values'!$A$21*'NOLH Designs (2)'!S81</f>
        <v>103.7</v>
      </c>
      <c r="S80" s="12">
        <f>'Actual Values'!$B$21*'NOLH Designs (2)'!S81</f>
        <v>177.65</v>
      </c>
      <c r="T80" s="12">
        <f>'Actual Values'!$C$21*'NOLH Designs (2)'!S81</f>
        <v>104.55</v>
      </c>
      <c r="U80" s="12">
        <f>'Actual Values'!$A$25*'NOLH Designs (2)'!T81</f>
        <v>63.75</v>
      </c>
      <c r="V80" s="12">
        <f>'Actual Values'!$B$25*'NOLH Designs (2)'!T81</f>
        <v>103.7</v>
      </c>
      <c r="W80" s="12">
        <f>'Actual Values'!$A$13*'NOLH Designs (2)'!G81</f>
        <v>18</v>
      </c>
      <c r="X80" s="12">
        <f>'Actual Values'!$B$13*'NOLH Designs (2)'!H81</f>
        <v>59.4</v>
      </c>
      <c r="Y80" s="12">
        <f>'Actual Values'!$A$17*'NOLH Designs (2)'!Q81</f>
        <v>3.92</v>
      </c>
      <c r="Z80" s="12">
        <f>'Actual Values'!$B$17*'NOLH Designs (2)'!R81</f>
        <v>31.68</v>
      </c>
      <c r="AA80" s="12">
        <f>'Actual Values'!$C$17*'NOLH Designs (2)'!Q81</f>
        <v>1.96</v>
      </c>
      <c r="AB80" s="12">
        <f>'Actual Values'!$D$17*'NOLH Designs (2)'!R81</f>
        <v>14.399999999999999</v>
      </c>
      <c r="AC80" s="6">
        <v>0.63</v>
      </c>
      <c r="AD80" s="6">
        <v>0.32</v>
      </c>
      <c r="AE80" s="6">
        <v>0.31</v>
      </c>
      <c r="AF80" s="6">
        <v>0.83</v>
      </c>
      <c r="AG80" s="6">
        <v>0.2</v>
      </c>
      <c r="AH80" s="6">
        <v>0.33</v>
      </c>
      <c r="AI80" s="6">
        <v>0.21</v>
      </c>
      <c r="AJ80" s="6">
        <v>0.13</v>
      </c>
    </row>
    <row r="81" spans="1:36" x14ac:dyDescent="0.2">
      <c r="A81" s="8">
        <v>78</v>
      </c>
      <c r="B81" s="6">
        <f>'Actual Values'!$B$3*'NOLH Designs (2)'!B82</f>
        <v>6393542.4000000004</v>
      </c>
      <c r="C81" s="6">
        <f>'Actual Values'!$B$5*'NOLH Designs (2)'!B82</f>
        <v>5609620.7999999998</v>
      </c>
      <c r="D81" s="6">
        <f>'Actual Values'!$B$7*'NOLH Designs (2)'!B82</f>
        <v>2943493.5</v>
      </c>
      <c r="E81" s="6">
        <f>'Actual Values'!$B$9*'NOLH Designs (2)'!B82</f>
        <v>2198571.0299999998</v>
      </c>
      <c r="F81" s="12">
        <f>'Actual Values'!$C$3*'NOLH Designs (2)'!C82</f>
        <v>446131.20000000013</v>
      </c>
      <c r="G81" s="12">
        <f>'Actual Values'!$C$3-'ExpValues Eq'!F81</f>
        <v>759628.79999999981</v>
      </c>
      <c r="H81" s="12">
        <f>F81+'Actual Values'!$D$3</f>
        <v>669131.20000000019</v>
      </c>
      <c r="I81" s="12">
        <f>'Actual Values'!$C$5*'NOLH Designs (2)'!D82</f>
        <v>21158.40000000002</v>
      </c>
      <c r="J81" s="12">
        <f>'Actual Values'!$C$5-'ExpValues Eq'!I81</f>
        <v>1036761.6</v>
      </c>
      <c r="K81" s="12">
        <f>I81+'Actual Values'!$D$5</f>
        <v>279158.40000000002</v>
      </c>
      <c r="L81" s="12">
        <f>'Actual Values'!$C$7*'NOLH Designs (2)'!E82</f>
        <v>227596.73999999996</v>
      </c>
      <c r="M81" s="12">
        <f>'Actual Values'!$C$7-'ExpValues Eq'!L81</f>
        <v>327517.26</v>
      </c>
      <c r="N81" s="12">
        <f>L81+'Actual Values'!$D$7</f>
        <v>401201.74</v>
      </c>
      <c r="O81" s="12">
        <f>'Actual Values'!$C$9*'NOLH Designs (2)'!F82</f>
        <v>124388.70000000001</v>
      </c>
      <c r="P81" s="12">
        <f>'Actual Values'!$C$9-'ExpValues Eq'!O81</f>
        <v>290240.3</v>
      </c>
      <c r="Q81" s="12">
        <f>O81+'Actual Values'!$D$9</f>
        <v>173363.7</v>
      </c>
      <c r="R81" s="12">
        <f>'Actual Values'!$A$21*'NOLH Designs (2)'!S82</f>
        <v>46.36</v>
      </c>
      <c r="S81" s="12">
        <f>'Actual Values'!$B$21*'NOLH Designs (2)'!S82</f>
        <v>79.42</v>
      </c>
      <c r="T81" s="12">
        <f>'Actual Values'!$C$21*'NOLH Designs (2)'!S82</f>
        <v>46.74</v>
      </c>
      <c r="U81" s="12">
        <f>'Actual Values'!$A$25*'NOLH Designs (2)'!T82</f>
        <v>48.75</v>
      </c>
      <c r="V81" s="12">
        <f>'Actual Values'!$B$25*'NOLH Designs (2)'!T82</f>
        <v>79.3</v>
      </c>
      <c r="W81" s="12">
        <f>'Actual Values'!$A$13*'NOLH Designs (2)'!G82</f>
        <v>24.9</v>
      </c>
      <c r="X81" s="12">
        <f>'Actual Values'!$B$13*'NOLH Designs (2)'!H82</f>
        <v>81.600000000000009</v>
      </c>
      <c r="Y81" s="12">
        <f>'Actual Values'!$A$17*'NOLH Designs (2)'!Q82</f>
        <v>4.8</v>
      </c>
      <c r="Z81" s="12">
        <f>'Actual Values'!$B$17*'NOLH Designs (2)'!R82</f>
        <v>28.71</v>
      </c>
      <c r="AA81" s="12">
        <f>'Actual Values'!$C$17*'NOLH Designs (2)'!Q82</f>
        <v>2.4</v>
      </c>
      <c r="AB81" s="12">
        <f>'Actual Values'!$D$17*'NOLH Designs (2)'!R82</f>
        <v>13.05</v>
      </c>
      <c r="AC81" s="6">
        <v>0.79</v>
      </c>
      <c r="AD81" s="6">
        <v>0.2</v>
      </c>
      <c r="AE81" s="6">
        <v>0.13</v>
      </c>
      <c r="AF81" s="6">
        <v>0.9</v>
      </c>
      <c r="AG81" s="6">
        <v>0.34</v>
      </c>
      <c r="AH81" s="6">
        <v>0.13</v>
      </c>
      <c r="AI81" s="6">
        <v>0.15</v>
      </c>
      <c r="AJ81" s="6">
        <v>0.24</v>
      </c>
    </row>
    <row r="82" spans="1:36" x14ac:dyDescent="0.2">
      <c r="A82" s="8">
        <v>79</v>
      </c>
      <c r="B82" s="6">
        <f>'Actual Values'!$B$3*'NOLH Designs (2)'!B83</f>
        <v>5570611.2000000002</v>
      </c>
      <c r="C82" s="6">
        <f>'Actual Values'!$B$5*'NOLH Designs (2)'!B83</f>
        <v>4887590.4000000004</v>
      </c>
      <c r="D82" s="6">
        <f>'Actual Values'!$B$7*'NOLH Designs (2)'!B83</f>
        <v>2564628</v>
      </c>
      <c r="E82" s="6">
        <f>'Actual Values'!$B$9*'NOLH Designs (2)'!B83</f>
        <v>1915586.64</v>
      </c>
      <c r="F82" s="12">
        <f>'Actual Values'!$C$3*'NOLH Designs (2)'!C83</f>
        <v>470246.39999999991</v>
      </c>
      <c r="G82" s="12">
        <f>'Actual Values'!$C$3-'ExpValues Eq'!F82</f>
        <v>735513.60000000009</v>
      </c>
      <c r="H82" s="12">
        <f>F82+'Actual Values'!$D$3</f>
        <v>693246.39999999991</v>
      </c>
      <c r="I82" s="12">
        <f>'Actual Values'!$C$5*'NOLH Designs (2)'!D83</f>
        <v>42316.800000000039</v>
      </c>
      <c r="J82" s="12">
        <f>'Actual Values'!$C$5-'ExpValues Eq'!I82</f>
        <v>1015603.2</v>
      </c>
      <c r="K82" s="12">
        <f>I82+'Actual Values'!$D$5</f>
        <v>300316.80000000005</v>
      </c>
      <c r="L82" s="12">
        <f>'Actual Values'!$C$7*'NOLH Designs (2)'!E83</f>
        <v>177636.48000000004</v>
      </c>
      <c r="M82" s="12">
        <f>'Actual Values'!$C$7-'ExpValues Eq'!L82</f>
        <v>377477.51999999996</v>
      </c>
      <c r="N82" s="12">
        <f>L82+'Actual Values'!$D$7</f>
        <v>351241.48000000004</v>
      </c>
      <c r="O82" s="12">
        <f>'Actual Values'!$C$9*'NOLH Designs (2)'!F83</f>
        <v>190729.34</v>
      </c>
      <c r="P82" s="12">
        <f>'Actual Values'!$C$9-'ExpValues Eq'!O82</f>
        <v>223899.66</v>
      </c>
      <c r="Q82" s="12">
        <f>O82+'Actual Values'!$D$9</f>
        <v>239704.34</v>
      </c>
      <c r="R82" s="12">
        <f>'Actual Values'!$A$21*'NOLH Designs (2)'!S83</f>
        <v>78.08</v>
      </c>
      <c r="S82" s="12">
        <f>'Actual Values'!$B$21*'NOLH Designs (2)'!S83</f>
        <v>133.76</v>
      </c>
      <c r="T82" s="12">
        <f>'Actual Values'!$C$21*'NOLH Designs (2)'!S83</f>
        <v>78.72</v>
      </c>
      <c r="U82" s="12">
        <f>'Actual Values'!$A$25*'NOLH Designs (2)'!T83</f>
        <v>47.25</v>
      </c>
      <c r="V82" s="12">
        <f>'Actual Values'!$B$25*'NOLH Designs (2)'!T83</f>
        <v>76.86</v>
      </c>
      <c r="W82" s="12">
        <f>'Actual Values'!$A$13*'NOLH Designs (2)'!G83</f>
        <v>36.299999999999997</v>
      </c>
      <c r="X82" s="12">
        <f>'Actual Values'!$B$13*'NOLH Designs (2)'!H83</f>
        <v>40.200000000000003</v>
      </c>
      <c r="Y82" s="12">
        <f>'Actual Values'!$A$17*'NOLH Designs (2)'!Q83</f>
        <v>4.5599999999999996</v>
      </c>
      <c r="Z82" s="12">
        <f>'Actual Values'!$B$17*'NOLH Designs (2)'!R83</f>
        <v>30.03</v>
      </c>
      <c r="AA82" s="12">
        <f>'Actual Values'!$C$17*'NOLH Designs (2)'!Q83</f>
        <v>2.2799999999999998</v>
      </c>
      <c r="AB82" s="12">
        <f>'Actual Values'!$D$17*'NOLH Designs (2)'!R83</f>
        <v>13.65</v>
      </c>
      <c r="AC82" s="6">
        <v>0.74</v>
      </c>
      <c r="AD82" s="6">
        <v>0.34</v>
      </c>
      <c r="AE82" s="6">
        <v>0.28000000000000003</v>
      </c>
      <c r="AF82" s="6">
        <v>0.9</v>
      </c>
      <c r="AG82" s="6">
        <v>0.3</v>
      </c>
      <c r="AH82" s="6">
        <v>0.15</v>
      </c>
      <c r="AI82" s="6">
        <v>0.11</v>
      </c>
      <c r="AJ82" s="6">
        <v>0.23</v>
      </c>
    </row>
    <row r="83" spans="1:36" x14ac:dyDescent="0.2">
      <c r="A83" s="8">
        <v>80</v>
      </c>
      <c r="B83" s="6">
        <f>'Actual Values'!$B$3*'NOLH Designs (2)'!B84</f>
        <v>7089868.8000000007</v>
      </c>
      <c r="C83" s="6">
        <f>'Actual Values'!$B$5*'NOLH Designs (2)'!B84</f>
        <v>6220569.6000000006</v>
      </c>
      <c r="D83" s="6">
        <f>'Actual Values'!$B$7*'NOLH Designs (2)'!B84</f>
        <v>3264072.0000000005</v>
      </c>
      <c r="E83" s="6">
        <f>'Actual Values'!$B$9*'NOLH Designs (2)'!B84</f>
        <v>2438019.3600000003</v>
      </c>
      <c r="F83" s="12">
        <f>'Actual Values'!$C$3*'NOLH Designs (2)'!C84</f>
        <v>289382.39999999997</v>
      </c>
      <c r="G83" s="12">
        <f>'Actual Values'!$C$3-'ExpValues Eq'!F83</f>
        <v>916377.60000000009</v>
      </c>
      <c r="H83" s="12">
        <f>F83+'Actual Values'!$D$3</f>
        <v>512382.39999999997</v>
      </c>
      <c r="I83" s="12">
        <f>'Actual Values'!$C$5*'NOLH Designs (2)'!D84</f>
        <v>10579.20000000001</v>
      </c>
      <c r="J83" s="12">
        <f>'Actual Values'!$C$5-'ExpValues Eq'!I83</f>
        <v>1047340.8</v>
      </c>
      <c r="K83" s="12">
        <f>I83+'Actual Values'!$D$5</f>
        <v>268579.20000000001</v>
      </c>
      <c r="L83" s="12">
        <f>'Actual Values'!$C$7*'NOLH Designs (2)'!E84</f>
        <v>216494.45999999993</v>
      </c>
      <c r="M83" s="12">
        <f>'Actual Values'!$C$7-'ExpValues Eq'!L83</f>
        <v>338619.54000000004</v>
      </c>
      <c r="N83" s="12">
        <f>L83+'Actual Values'!$D$7</f>
        <v>390099.45999999996</v>
      </c>
      <c r="O83" s="12">
        <f>'Actual Values'!$C$9*'NOLH Designs (2)'!F84</f>
        <v>111949.83</v>
      </c>
      <c r="P83" s="12">
        <f>'Actual Values'!$C$9-'ExpValues Eq'!O83</f>
        <v>302679.17</v>
      </c>
      <c r="Q83" s="12">
        <f>O83+'Actual Values'!$D$9</f>
        <v>160924.83000000002</v>
      </c>
      <c r="R83" s="12">
        <f>'Actual Values'!$A$21*'NOLH Designs (2)'!S84</f>
        <v>112.24000000000001</v>
      </c>
      <c r="S83" s="12">
        <f>'Actual Values'!$B$21*'NOLH Designs (2)'!S84</f>
        <v>192.28</v>
      </c>
      <c r="T83" s="12">
        <f>'Actual Values'!$C$21*'NOLH Designs (2)'!S84</f>
        <v>113.16000000000001</v>
      </c>
      <c r="U83" s="12">
        <f>'Actual Values'!$A$25*'NOLH Designs (2)'!T84</f>
        <v>66.75</v>
      </c>
      <c r="V83" s="12">
        <f>'Actual Values'!$B$25*'NOLH Designs (2)'!T84</f>
        <v>108.58</v>
      </c>
      <c r="W83" s="12">
        <f>'Actual Values'!$A$13*'NOLH Designs (2)'!G84</f>
        <v>36.9</v>
      </c>
      <c r="X83" s="12">
        <f>'Actual Values'!$B$13*'NOLH Designs (2)'!H84</f>
        <v>82.8</v>
      </c>
      <c r="Y83" s="12">
        <f>'Actual Values'!$A$17*'NOLH Designs (2)'!Q84</f>
        <v>4.84</v>
      </c>
      <c r="Z83" s="12">
        <f>'Actual Values'!$B$17*'NOLH Designs (2)'!R84</f>
        <v>31.02</v>
      </c>
      <c r="AA83" s="12">
        <f>'Actual Values'!$C$17*'NOLH Designs (2)'!Q84</f>
        <v>2.42</v>
      </c>
      <c r="AB83" s="12">
        <f>'Actual Values'!$D$17*'NOLH Designs (2)'!R84</f>
        <v>14.1</v>
      </c>
      <c r="AC83" s="6">
        <v>0.86</v>
      </c>
      <c r="AD83" s="6">
        <v>0.1</v>
      </c>
      <c r="AE83" s="6">
        <v>0.16</v>
      </c>
      <c r="AF83" s="6">
        <v>0.65</v>
      </c>
      <c r="AG83" s="6">
        <v>0.18</v>
      </c>
      <c r="AH83" s="6">
        <v>0.33</v>
      </c>
      <c r="AI83" s="6">
        <v>0.2</v>
      </c>
      <c r="AJ83" s="6">
        <v>0.24</v>
      </c>
    </row>
    <row r="84" spans="1:36" x14ac:dyDescent="0.2">
      <c r="A84" s="8">
        <v>81</v>
      </c>
      <c r="B84" s="6">
        <f>'Actual Values'!$B$3*'NOLH Designs (2)'!B85</f>
        <v>5444006.4000000004</v>
      </c>
      <c r="C84" s="6">
        <f>'Actual Values'!$B$5*'NOLH Designs (2)'!B85</f>
        <v>4776508.8</v>
      </c>
      <c r="D84" s="6">
        <f>'Actual Values'!$B$7*'NOLH Designs (2)'!B85</f>
        <v>2506341</v>
      </c>
      <c r="E84" s="6">
        <f>'Actual Values'!$B$9*'NOLH Designs (2)'!B85</f>
        <v>1872050.58</v>
      </c>
      <c r="F84" s="12">
        <f>'Actual Values'!$C$3*'NOLH Designs (2)'!C85</f>
        <v>156748.79999999987</v>
      </c>
      <c r="G84" s="12">
        <f>'Actual Values'!$C$3-'ExpValues Eq'!F84</f>
        <v>1049011.2000000002</v>
      </c>
      <c r="H84" s="12">
        <f>F84+'Actual Values'!$D$3</f>
        <v>379748.79999999987</v>
      </c>
      <c r="I84" s="12">
        <f>'Actual Values'!$C$5*'NOLH Designs (2)'!D85</f>
        <v>10579.20000000001</v>
      </c>
      <c r="J84" s="12">
        <f>'Actual Values'!$C$5-'ExpValues Eq'!I84</f>
        <v>1047340.8</v>
      </c>
      <c r="K84" s="12">
        <f>I84+'Actual Values'!$D$5</f>
        <v>268579.20000000001</v>
      </c>
      <c r="L84" s="12">
        <f>'Actual Values'!$C$7*'NOLH Designs (2)'!E85</f>
        <v>266454.71999999997</v>
      </c>
      <c r="M84" s="12">
        <f>'Actual Values'!$C$7-'ExpValues Eq'!L84</f>
        <v>288659.28000000003</v>
      </c>
      <c r="N84" s="12">
        <f>L84+'Actual Values'!$D$7</f>
        <v>440059.72</v>
      </c>
      <c r="O84" s="12">
        <f>'Actual Values'!$C$9*'NOLH Designs (2)'!F85</f>
        <v>169997.88999999996</v>
      </c>
      <c r="P84" s="12">
        <f>'Actual Values'!$C$9-'ExpValues Eq'!O84</f>
        <v>244631.11000000004</v>
      </c>
      <c r="Q84" s="12">
        <f>O84+'Actual Values'!$D$9</f>
        <v>218972.88999999996</v>
      </c>
      <c r="R84" s="12">
        <f>'Actual Values'!$A$21*'NOLH Designs (2)'!S85</f>
        <v>87.84</v>
      </c>
      <c r="S84" s="12">
        <f>'Actual Values'!$B$21*'NOLH Designs (2)'!S85</f>
        <v>150.47999999999999</v>
      </c>
      <c r="T84" s="12">
        <f>'Actual Values'!$C$21*'NOLH Designs (2)'!S85</f>
        <v>88.56</v>
      </c>
      <c r="U84" s="12">
        <f>'Actual Values'!$A$25*'NOLH Designs (2)'!T85</f>
        <v>42.749999999999993</v>
      </c>
      <c r="V84" s="12">
        <f>'Actual Values'!$B$25*'NOLH Designs (2)'!T85</f>
        <v>69.539999999999992</v>
      </c>
      <c r="W84" s="12">
        <f>'Actual Values'!$A$13*'NOLH Designs (2)'!G85</f>
        <v>29.7</v>
      </c>
      <c r="X84" s="12">
        <f>'Actual Values'!$B$13*'NOLH Designs (2)'!H85</f>
        <v>37.200000000000003</v>
      </c>
      <c r="Y84" s="12">
        <f>'Actual Values'!$A$17*'NOLH Designs (2)'!Q85</f>
        <v>4.84</v>
      </c>
      <c r="Z84" s="12">
        <f>'Actual Values'!$B$17*'NOLH Designs (2)'!R85</f>
        <v>25.080000000000002</v>
      </c>
      <c r="AA84" s="12">
        <f>'Actual Values'!$C$17*'NOLH Designs (2)'!Q85</f>
        <v>2.42</v>
      </c>
      <c r="AB84" s="12">
        <f>'Actual Values'!$D$17*'NOLH Designs (2)'!R85</f>
        <v>11.4</v>
      </c>
      <c r="AC84" s="6">
        <v>0.68</v>
      </c>
      <c r="AD84" s="6">
        <v>0.33</v>
      </c>
      <c r="AE84" s="6">
        <v>0.27</v>
      </c>
      <c r="AF84" s="6">
        <v>0.61</v>
      </c>
      <c r="AG84" s="6">
        <v>0.21</v>
      </c>
      <c r="AH84" s="6">
        <v>0.3</v>
      </c>
      <c r="AI84" s="6">
        <v>0.18</v>
      </c>
      <c r="AJ84" s="6">
        <v>0.25</v>
      </c>
    </row>
    <row r="85" spans="1:36" x14ac:dyDescent="0.2">
      <c r="A85" s="8">
        <v>82</v>
      </c>
      <c r="B85" s="6">
        <f>'Actual Values'!$B$3*'NOLH Designs (2)'!B86</f>
        <v>7216473.5999999996</v>
      </c>
      <c r="C85" s="6">
        <f>'Actual Values'!$B$5*'NOLH Designs (2)'!B86</f>
        <v>6331651.1999999993</v>
      </c>
      <c r="D85" s="6">
        <f>'Actual Values'!$B$7*'NOLH Designs (2)'!B86</f>
        <v>3322358.9999999995</v>
      </c>
      <c r="E85" s="6">
        <f>'Actual Values'!$B$9*'NOLH Designs (2)'!B86</f>
        <v>2481555.42</v>
      </c>
      <c r="F85" s="12">
        <f>'Actual Values'!$C$3*'NOLH Designs (2)'!C86</f>
        <v>494361.59999999992</v>
      </c>
      <c r="G85" s="12">
        <f>'Actual Values'!$C$3-'ExpValues Eq'!F85</f>
        <v>711398.40000000014</v>
      </c>
      <c r="H85" s="12">
        <f>F85+'Actual Values'!$D$3</f>
        <v>717361.59999999986</v>
      </c>
      <c r="I85" s="12">
        <f>'Actual Values'!$C$5*'NOLH Designs (2)'!D86</f>
        <v>423167.99999999988</v>
      </c>
      <c r="J85" s="12">
        <f>'Actual Values'!$C$5-'ExpValues Eq'!I85</f>
        <v>634752.00000000012</v>
      </c>
      <c r="K85" s="12">
        <f>I85+'Actual Values'!$D$5</f>
        <v>681167.99999999988</v>
      </c>
      <c r="L85" s="12">
        <f>'Actual Values'!$C$7*'NOLH Designs (2)'!E86</f>
        <v>72164.819999999934</v>
      </c>
      <c r="M85" s="12">
        <f>'Actual Values'!$C$7-'ExpValues Eq'!L85</f>
        <v>482949.18000000005</v>
      </c>
      <c r="N85" s="12">
        <f>L85+'Actual Values'!$D$7</f>
        <v>245769.81999999995</v>
      </c>
      <c r="O85" s="12">
        <f>'Actual Values'!$C$9*'NOLH Designs (2)'!F86</f>
        <v>199021.91999999998</v>
      </c>
      <c r="P85" s="12">
        <f>'Actual Values'!$C$9-'ExpValues Eq'!O85</f>
        <v>215607.08000000002</v>
      </c>
      <c r="Q85" s="12">
        <f>O85+'Actual Values'!$D$9</f>
        <v>247996.91999999998</v>
      </c>
      <c r="R85" s="12">
        <f>'Actual Values'!$A$21*'NOLH Designs (2)'!S86</f>
        <v>40.260000000000005</v>
      </c>
      <c r="S85" s="12">
        <f>'Actual Values'!$B$21*'NOLH Designs (2)'!S86</f>
        <v>68.97</v>
      </c>
      <c r="T85" s="12">
        <f>'Actual Values'!$C$21*'NOLH Designs (2)'!S86</f>
        <v>40.590000000000003</v>
      </c>
      <c r="U85" s="12">
        <f>'Actual Values'!$A$25*'NOLH Designs (2)'!T86</f>
        <v>28.5</v>
      </c>
      <c r="V85" s="12">
        <f>'Actual Values'!$B$25*'NOLH Designs (2)'!T86</f>
        <v>46.36</v>
      </c>
      <c r="W85" s="12">
        <f>'Actual Values'!$A$13*'NOLH Designs (2)'!G86</f>
        <v>25.2</v>
      </c>
      <c r="X85" s="12">
        <f>'Actual Values'!$B$13*'NOLH Designs (2)'!H86</f>
        <v>51</v>
      </c>
      <c r="Y85" s="12">
        <f>'Actual Values'!$A$17*'NOLH Designs (2)'!Q86</f>
        <v>3.44</v>
      </c>
      <c r="Z85" s="12">
        <f>'Actual Values'!$B$17*'NOLH Designs (2)'!R86</f>
        <v>39.93</v>
      </c>
      <c r="AA85" s="12">
        <f>'Actual Values'!$C$17*'NOLH Designs (2)'!Q86</f>
        <v>1.72</v>
      </c>
      <c r="AB85" s="12">
        <f>'Actual Values'!$D$17*'NOLH Designs (2)'!R86</f>
        <v>18.149999999999999</v>
      </c>
      <c r="AC85" s="6">
        <v>0.75</v>
      </c>
      <c r="AD85" s="6">
        <v>0.34</v>
      </c>
      <c r="AE85" s="6">
        <v>0.22</v>
      </c>
      <c r="AF85" s="6">
        <v>0.71</v>
      </c>
      <c r="AG85" s="6">
        <v>0.22</v>
      </c>
      <c r="AH85" s="6">
        <v>0.34</v>
      </c>
      <c r="AI85" s="6">
        <v>0.1</v>
      </c>
      <c r="AJ85" s="6">
        <v>0.28999999999999998</v>
      </c>
    </row>
    <row r="86" spans="1:36" x14ac:dyDescent="0.2">
      <c r="A86" s="8">
        <v>83</v>
      </c>
      <c r="B86" s="6">
        <f>'Actual Values'!$B$3*'NOLH Designs (2)'!B87</f>
        <v>4874284.8</v>
      </c>
      <c r="C86" s="6">
        <f>'Actual Values'!$B$5*'NOLH Designs (2)'!B87</f>
        <v>4276641.6000000006</v>
      </c>
      <c r="D86" s="6">
        <f>'Actual Values'!$B$7*'NOLH Designs (2)'!B87</f>
        <v>2244049.5</v>
      </c>
      <c r="E86" s="6">
        <f>'Actual Values'!$B$9*'NOLH Designs (2)'!B87</f>
        <v>1676138.31</v>
      </c>
      <c r="F86" s="12">
        <f>'Actual Values'!$C$3*'NOLH Designs (2)'!C87</f>
        <v>385843.20000000007</v>
      </c>
      <c r="G86" s="12">
        <f>'Actual Values'!$C$3-'ExpValues Eq'!F86</f>
        <v>819916.79999999993</v>
      </c>
      <c r="H86" s="12">
        <f>F86+'Actual Values'!$D$3</f>
        <v>608843.20000000007</v>
      </c>
      <c r="I86" s="12">
        <f>'Actual Values'!$C$5*'NOLH Designs (2)'!D87</f>
        <v>391430.40000000014</v>
      </c>
      <c r="J86" s="12">
        <f>'Actual Values'!$C$5-'ExpValues Eq'!I86</f>
        <v>666489.59999999986</v>
      </c>
      <c r="K86" s="12">
        <f>I86+'Actual Values'!$D$5</f>
        <v>649430.40000000014</v>
      </c>
      <c r="L86" s="12">
        <f>'Actual Values'!$C$7*'NOLH Designs (2)'!E87</f>
        <v>61062.540000000052</v>
      </c>
      <c r="M86" s="12">
        <f>'Actual Values'!$C$7-'ExpValues Eq'!L86</f>
        <v>494051.45999999996</v>
      </c>
      <c r="N86" s="12">
        <f>L86+'Actual Values'!$D$7</f>
        <v>234667.54000000004</v>
      </c>
      <c r="O86" s="12">
        <f>'Actual Values'!$C$9*'NOLH Designs (2)'!F87</f>
        <v>120242.41000000002</v>
      </c>
      <c r="P86" s="12">
        <f>'Actual Values'!$C$9-'ExpValues Eq'!O86</f>
        <v>294386.58999999997</v>
      </c>
      <c r="Q86" s="12">
        <f>O86+'Actual Values'!$D$9</f>
        <v>169217.41000000003</v>
      </c>
      <c r="R86" s="12">
        <f>'Actual Values'!$A$21*'NOLH Designs (2)'!S87</f>
        <v>51.239999999999995</v>
      </c>
      <c r="S86" s="12">
        <f>'Actual Values'!$B$21*'NOLH Designs (2)'!S87</f>
        <v>87.78</v>
      </c>
      <c r="T86" s="12">
        <f>'Actual Values'!$C$21*'NOLH Designs (2)'!S87</f>
        <v>51.66</v>
      </c>
      <c r="U86" s="12">
        <f>'Actual Values'!$A$25*'NOLH Designs (2)'!T87</f>
        <v>21.75</v>
      </c>
      <c r="V86" s="12">
        <f>'Actual Values'!$B$25*'NOLH Designs (2)'!T87</f>
        <v>35.379999999999995</v>
      </c>
      <c r="W86" s="12">
        <f>'Actual Values'!$A$13*'NOLH Designs (2)'!G87</f>
        <v>37.200000000000003</v>
      </c>
      <c r="X86" s="12">
        <f>'Actual Values'!$B$13*'NOLH Designs (2)'!H87</f>
        <v>76.8</v>
      </c>
      <c r="Y86" s="12">
        <f>'Actual Values'!$A$17*'NOLH Designs (2)'!Q87</f>
        <v>3.64</v>
      </c>
      <c r="Z86" s="12">
        <f>'Actual Values'!$B$17*'NOLH Designs (2)'!R87</f>
        <v>33.33</v>
      </c>
      <c r="AA86" s="12">
        <f>'Actual Values'!$C$17*'NOLH Designs (2)'!Q87</f>
        <v>1.82</v>
      </c>
      <c r="AB86" s="12">
        <f>'Actual Values'!$D$17*'NOLH Designs (2)'!R87</f>
        <v>15.15</v>
      </c>
      <c r="AC86" s="6">
        <v>0.76</v>
      </c>
      <c r="AD86" s="6">
        <v>0.18</v>
      </c>
      <c r="AE86" s="6">
        <v>0.39</v>
      </c>
      <c r="AF86" s="6">
        <v>0.72</v>
      </c>
      <c r="AG86" s="6">
        <v>0.18</v>
      </c>
      <c r="AH86" s="6">
        <v>0.27</v>
      </c>
      <c r="AI86" s="6">
        <v>0.18</v>
      </c>
      <c r="AJ86" s="6">
        <v>0.28000000000000003</v>
      </c>
    </row>
    <row r="87" spans="1:36" x14ac:dyDescent="0.2">
      <c r="A87" s="8">
        <v>84</v>
      </c>
      <c r="B87" s="6">
        <f>'Actual Values'!$B$3*'NOLH Designs (2)'!B88</f>
        <v>7343078.3999999994</v>
      </c>
      <c r="C87" s="6">
        <f>'Actual Values'!$B$5*'NOLH Designs (2)'!B88</f>
        <v>6442732.7999999998</v>
      </c>
      <c r="D87" s="6">
        <f>'Actual Values'!$B$7*'NOLH Designs (2)'!B88</f>
        <v>3380645.9999999995</v>
      </c>
      <c r="E87" s="6">
        <f>'Actual Values'!$B$9*'NOLH Designs (2)'!B88</f>
        <v>2525091.48</v>
      </c>
      <c r="F87" s="12">
        <f>'Actual Values'!$C$3*'NOLH Designs (2)'!C88</f>
        <v>132633.60000000012</v>
      </c>
      <c r="G87" s="12">
        <f>'Actual Values'!$C$3-'ExpValues Eq'!F87</f>
        <v>1073126.3999999999</v>
      </c>
      <c r="H87" s="12">
        <f>F87+'Actual Values'!$D$3</f>
        <v>355633.60000000009</v>
      </c>
      <c r="I87" s="12">
        <f>'Actual Values'!$C$5*'NOLH Designs (2)'!D88</f>
        <v>380851.20000000013</v>
      </c>
      <c r="J87" s="12">
        <f>'Actual Values'!$C$5-'ExpValues Eq'!I87</f>
        <v>677068.79999999981</v>
      </c>
      <c r="K87" s="12">
        <f>I87+'Actual Values'!$D$5</f>
        <v>638851.20000000019</v>
      </c>
      <c r="L87" s="12">
        <f>'Actual Values'!$C$7*'NOLH Designs (2)'!E88</f>
        <v>133227.35999999999</v>
      </c>
      <c r="M87" s="12">
        <f>'Actual Values'!$C$7-'ExpValues Eq'!L87</f>
        <v>421886.64</v>
      </c>
      <c r="N87" s="12">
        <f>L87+'Actual Values'!$D$7</f>
        <v>306832.36</v>
      </c>
      <c r="O87" s="12">
        <f>'Actual Values'!$C$9*'NOLH Designs (2)'!F88</f>
        <v>161705.30999999997</v>
      </c>
      <c r="P87" s="12">
        <f>'Actual Values'!$C$9-'ExpValues Eq'!O87</f>
        <v>252923.69000000003</v>
      </c>
      <c r="Q87" s="12">
        <f>O87+'Actual Values'!$D$9</f>
        <v>210680.30999999997</v>
      </c>
      <c r="R87" s="12">
        <f>'Actual Values'!$A$21*'NOLH Designs (2)'!S88</f>
        <v>84.179999999999993</v>
      </c>
      <c r="S87" s="12">
        <f>'Actual Values'!$B$21*'NOLH Designs (2)'!S88</f>
        <v>144.20999999999998</v>
      </c>
      <c r="T87" s="12">
        <f>'Actual Values'!$C$21*'NOLH Designs (2)'!S88</f>
        <v>84.86999999999999</v>
      </c>
      <c r="U87" s="12">
        <f>'Actual Values'!$A$25*'NOLH Designs (2)'!T88</f>
        <v>53.25</v>
      </c>
      <c r="V87" s="12">
        <f>'Actual Values'!$B$25*'NOLH Designs (2)'!T88</f>
        <v>86.61999999999999</v>
      </c>
      <c r="W87" s="12">
        <f>'Actual Values'!$A$13*'NOLH Designs (2)'!G88</f>
        <v>41.4</v>
      </c>
      <c r="X87" s="12">
        <f>'Actual Values'!$B$13*'NOLH Designs (2)'!H88</f>
        <v>51.6</v>
      </c>
      <c r="Y87" s="12">
        <f>'Actual Values'!$A$17*'NOLH Designs (2)'!Q88</f>
        <v>3.64</v>
      </c>
      <c r="Z87" s="12">
        <f>'Actual Values'!$B$17*'NOLH Designs (2)'!R88</f>
        <v>40.26</v>
      </c>
      <c r="AA87" s="12">
        <f>'Actual Values'!$C$17*'NOLH Designs (2)'!Q88</f>
        <v>1.82</v>
      </c>
      <c r="AB87" s="12">
        <f>'Actual Values'!$D$17*'NOLH Designs (2)'!R88</f>
        <v>18.3</v>
      </c>
      <c r="AC87" s="6">
        <v>0.74</v>
      </c>
      <c r="AD87" s="6">
        <v>0.33</v>
      </c>
      <c r="AE87" s="6">
        <v>0.12</v>
      </c>
      <c r="AF87" s="6">
        <v>0.81</v>
      </c>
      <c r="AG87" s="6">
        <v>0.25</v>
      </c>
      <c r="AH87" s="6">
        <v>0.19</v>
      </c>
      <c r="AI87" s="6">
        <v>0.11</v>
      </c>
      <c r="AJ87" s="6">
        <v>0.28999999999999998</v>
      </c>
    </row>
    <row r="88" spans="1:36" x14ac:dyDescent="0.2">
      <c r="A88" s="8">
        <v>85</v>
      </c>
      <c r="B88" s="6">
        <f>'Actual Values'!$B$3*'NOLH Designs (2)'!B89</f>
        <v>5887123.2000000002</v>
      </c>
      <c r="C88" s="6">
        <f>'Actual Values'!$B$5*'NOLH Designs (2)'!B89</f>
        <v>5165294.4000000004</v>
      </c>
      <c r="D88" s="6">
        <f>'Actual Values'!$B$7*'NOLH Designs (2)'!B89</f>
        <v>2710345.5</v>
      </c>
      <c r="E88" s="6">
        <f>'Actual Values'!$B$9*'NOLH Designs (2)'!B89</f>
        <v>2024426.79</v>
      </c>
      <c r="F88" s="12">
        <f>'Actual Values'!$C$3*'NOLH Designs (2)'!C89</f>
        <v>24115.200000000023</v>
      </c>
      <c r="G88" s="12">
        <f>'Actual Values'!$C$3-'ExpValues Eq'!F88</f>
        <v>1181644.8</v>
      </c>
      <c r="H88" s="12">
        <f>F88+'Actual Values'!$D$3</f>
        <v>247115.2</v>
      </c>
      <c r="I88" s="12">
        <f>'Actual Values'!$C$5*'NOLH Designs (2)'!D89</f>
        <v>327955.20000000007</v>
      </c>
      <c r="J88" s="12">
        <f>'Actual Values'!$C$5-'ExpValues Eq'!I88</f>
        <v>729964.79999999993</v>
      </c>
      <c r="K88" s="12">
        <f>I88+'Actual Values'!$D$5</f>
        <v>585955.20000000007</v>
      </c>
      <c r="L88" s="12">
        <f>'Actual Values'!$C$7*'NOLH Designs (2)'!E89</f>
        <v>72164.819999999934</v>
      </c>
      <c r="M88" s="12">
        <f>'Actual Values'!$C$7-'ExpValues Eq'!L88</f>
        <v>482949.18000000005</v>
      </c>
      <c r="N88" s="12">
        <f>L88+'Actual Values'!$D$7</f>
        <v>245769.81999999995</v>
      </c>
      <c r="O88" s="12">
        <f>'Actual Values'!$C$9*'NOLH Designs (2)'!F89</f>
        <v>182436.75999999998</v>
      </c>
      <c r="P88" s="12">
        <f>'Actual Values'!$C$9-'ExpValues Eq'!O88</f>
        <v>232192.24000000002</v>
      </c>
      <c r="Q88" s="12">
        <f>O88+'Actual Values'!$D$9</f>
        <v>231411.75999999998</v>
      </c>
      <c r="R88" s="12">
        <f>'Actual Values'!$A$21*'NOLH Designs (2)'!S89</f>
        <v>117.11999999999999</v>
      </c>
      <c r="S88" s="12">
        <f>'Actual Values'!$B$21*'NOLH Designs (2)'!S89</f>
        <v>200.64</v>
      </c>
      <c r="T88" s="12">
        <f>'Actual Values'!$C$21*'NOLH Designs (2)'!S89</f>
        <v>118.08</v>
      </c>
      <c r="U88" s="12">
        <f>'Actual Values'!$A$25*'NOLH Designs (2)'!T89</f>
        <v>45.75</v>
      </c>
      <c r="V88" s="12">
        <f>'Actual Values'!$B$25*'NOLH Designs (2)'!T89</f>
        <v>74.42</v>
      </c>
      <c r="W88" s="12">
        <f>'Actual Values'!$A$13*'NOLH Designs (2)'!G89</f>
        <v>22.8</v>
      </c>
      <c r="X88" s="12">
        <f>'Actual Values'!$B$13*'NOLH Designs (2)'!H89</f>
        <v>67.8</v>
      </c>
      <c r="Y88" s="12">
        <f>'Actual Values'!$A$17*'NOLH Designs (2)'!Q89</f>
        <v>3.8</v>
      </c>
      <c r="Z88" s="12">
        <f>'Actual Values'!$B$17*'NOLH Designs (2)'!R89</f>
        <v>35.31</v>
      </c>
      <c r="AA88" s="12">
        <f>'Actual Values'!$C$17*'NOLH Designs (2)'!Q89</f>
        <v>1.9</v>
      </c>
      <c r="AB88" s="12">
        <f>'Actual Values'!$D$17*'NOLH Designs (2)'!R89</f>
        <v>16.05</v>
      </c>
      <c r="AC88" s="6">
        <v>0.85</v>
      </c>
      <c r="AD88" s="6">
        <v>0.24</v>
      </c>
      <c r="AE88" s="6">
        <v>0.33</v>
      </c>
      <c r="AF88" s="6">
        <v>0.88</v>
      </c>
      <c r="AG88" s="6">
        <v>0.26</v>
      </c>
      <c r="AH88" s="6">
        <v>0.2</v>
      </c>
      <c r="AI88" s="6">
        <v>0.18</v>
      </c>
      <c r="AJ88" s="6">
        <v>0.3</v>
      </c>
    </row>
    <row r="89" spans="1:36" x14ac:dyDescent="0.2">
      <c r="A89" s="8">
        <v>86</v>
      </c>
      <c r="B89" s="6">
        <f>'Actual Values'!$B$3*'NOLH Designs (2)'!B90</f>
        <v>7026566.4000000004</v>
      </c>
      <c r="C89" s="6">
        <f>'Actual Values'!$B$5*'NOLH Designs (2)'!B90</f>
        <v>6165028.8000000007</v>
      </c>
      <c r="D89" s="6">
        <f>'Actual Values'!$B$7*'NOLH Designs (2)'!B90</f>
        <v>3234928.5000000005</v>
      </c>
      <c r="E89" s="6">
        <f>'Actual Values'!$B$9*'NOLH Designs (2)'!B90</f>
        <v>2416251.33</v>
      </c>
      <c r="F89" s="12">
        <f>'Actual Values'!$C$3*'NOLH Designs (2)'!C90</f>
        <v>482303.99999999988</v>
      </c>
      <c r="G89" s="12">
        <f>'Actual Values'!$C$3-'ExpValues Eq'!F89</f>
        <v>723456.00000000012</v>
      </c>
      <c r="H89" s="12">
        <f>F89+'Actual Values'!$D$3</f>
        <v>705303.99999999988</v>
      </c>
      <c r="I89" s="12">
        <f>'Actual Values'!$C$5*'NOLH Designs (2)'!D90</f>
        <v>95212.80000000009</v>
      </c>
      <c r="J89" s="12">
        <f>'Actual Values'!$C$5-'ExpValues Eq'!I89</f>
        <v>962707.2</v>
      </c>
      <c r="K89" s="12">
        <f>I89+'Actual Values'!$D$5</f>
        <v>353212.8000000001</v>
      </c>
      <c r="L89" s="12">
        <f>'Actual Values'!$C$7*'NOLH Designs (2)'!E90</f>
        <v>11102.28000000001</v>
      </c>
      <c r="M89" s="12">
        <f>'Actual Values'!$C$7-'ExpValues Eq'!L89</f>
        <v>544011.72</v>
      </c>
      <c r="N89" s="12">
        <f>L89+'Actual Values'!$D$7</f>
        <v>184707.28</v>
      </c>
      <c r="O89" s="12">
        <f>'Actual Values'!$C$9*'NOLH Designs (2)'!F90</f>
        <v>103657.25</v>
      </c>
      <c r="P89" s="12">
        <f>'Actual Values'!$C$9-'ExpValues Eq'!O89</f>
        <v>310971.75</v>
      </c>
      <c r="Q89" s="12">
        <f>O89+'Actual Values'!$D$9</f>
        <v>152632.25</v>
      </c>
      <c r="R89" s="12">
        <f>'Actual Values'!$A$21*'NOLH Designs (2)'!S90</f>
        <v>61</v>
      </c>
      <c r="S89" s="12">
        <f>'Actual Values'!$B$21*'NOLH Designs (2)'!S90</f>
        <v>104.5</v>
      </c>
      <c r="T89" s="12">
        <f>'Actual Values'!$C$21*'NOLH Designs (2)'!S90</f>
        <v>61.5</v>
      </c>
      <c r="U89" s="12">
        <f>'Actual Values'!$A$25*'NOLH Designs (2)'!T90</f>
        <v>19.5</v>
      </c>
      <c r="V89" s="12">
        <f>'Actual Values'!$B$25*'NOLH Designs (2)'!T90</f>
        <v>31.720000000000002</v>
      </c>
      <c r="W89" s="12">
        <f>'Actual Values'!$A$13*'NOLH Designs (2)'!G90</f>
        <v>26.1</v>
      </c>
      <c r="X89" s="12">
        <f>'Actual Values'!$B$13*'NOLH Designs (2)'!H90</f>
        <v>69.599999999999994</v>
      </c>
      <c r="Y89" s="12">
        <f>'Actual Values'!$A$17*'NOLH Designs (2)'!Q90</f>
        <v>4.84</v>
      </c>
      <c r="Z89" s="12">
        <f>'Actual Values'!$B$17*'NOLH Designs (2)'!R90</f>
        <v>39.6</v>
      </c>
      <c r="AA89" s="12">
        <f>'Actual Values'!$C$17*'NOLH Designs (2)'!Q90</f>
        <v>2.42</v>
      </c>
      <c r="AB89" s="12">
        <f>'Actual Values'!$D$17*'NOLH Designs (2)'!R90</f>
        <v>18</v>
      </c>
      <c r="AC89" s="6">
        <v>0.6</v>
      </c>
      <c r="AD89" s="6">
        <v>0.37</v>
      </c>
      <c r="AE89" s="6">
        <v>0.21</v>
      </c>
      <c r="AF89" s="6">
        <v>0.85</v>
      </c>
      <c r="AG89" s="6">
        <v>0.11</v>
      </c>
      <c r="AH89" s="6">
        <v>0.4</v>
      </c>
      <c r="AI89" s="6">
        <v>0.21</v>
      </c>
      <c r="AJ89" s="6">
        <v>0.14000000000000001</v>
      </c>
    </row>
    <row r="90" spans="1:36" x14ac:dyDescent="0.2">
      <c r="A90" s="8">
        <v>87</v>
      </c>
      <c r="B90" s="6">
        <f>'Actual Values'!$B$3*'NOLH Designs (2)'!B91</f>
        <v>5950425.5999999996</v>
      </c>
      <c r="C90" s="6">
        <f>'Actual Values'!$B$5*'NOLH Designs (2)'!B91</f>
        <v>5220835.1999999993</v>
      </c>
      <c r="D90" s="6">
        <f>'Actual Values'!$B$7*'NOLH Designs (2)'!B91</f>
        <v>2739489</v>
      </c>
      <c r="E90" s="6">
        <f>'Actual Values'!$B$9*'NOLH Designs (2)'!B91</f>
        <v>2046194.8199999998</v>
      </c>
      <c r="F90" s="12">
        <f>'Actual Values'!$C$3*'NOLH Designs (2)'!C91</f>
        <v>446131.20000000013</v>
      </c>
      <c r="G90" s="12">
        <f>'Actual Values'!$C$3-'ExpValues Eq'!F90</f>
        <v>759628.79999999981</v>
      </c>
      <c r="H90" s="12">
        <f>F90+'Actual Values'!$D$3</f>
        <v>669131.20000000019</v>
      </c>
      <c r="I90" s="12">
        <f>'Actual Values'!$C$5*'NOLH Designs (2)'!D91</f>
        <v>190425.59999999995</v>
      </c>
      <c r="J90" s="12">
        <f>'Actual Values'!$C$5-'ExpValues Eq'!I90</f>
        <v>867494.40000000002</v>
      </c>
      <c r="K90" s="12">
        <f>I90+'Actual Values'!$D$5</f>
        <v>448425.6</v>
      </c>
      <c r="L90" s="12">
        <f>'Actual Values'!$C$7*'NOLH Designs (2)'!E91</f>
        <v>22204.560000000019</v>
      </c>
      <c r="M90" s="12">
        <f>'Actual Values'!$C$7-'ExpValues Eq'!L90</f>
        <v>532909.43999999994</v>
      </c>
      <c r="N90" s="12">
        <f>L90+'Actual Values'!$D$7</f>
        <v>195809.56000000003</v>
      </c>
      <c r="O90" s="12">
        <f>'Actual Values'!$C$9*'NOLH Designs (2)'!F91</f>
        <v>128534.99000000002</v>
      </c>
      <c r="P90" s="12">
        <f>'Actual Values'!$C$9-'ExpValues Eq'!O90</f>
        <v>286094.01</v>
      </c>
      <c r="Q90" s="12">
        <f>O90+'Actual Values'!$D$9</f>
        <v>177509.99000000002</v>
      </c>
      <c r="R90" s="12">
        <f>'Actual Values'!$A$21*'NOLH Designs (2)'!S91</f>
        <v>65.88000000000001</v>
      </c>
      <c r="S90" s="12">
        <f>'Actual Values'!$B$21*'NOLH Designs (2)'!S91</f>
        <v>112.86000000000001</v>
      </c>
      <c r="T90" s="12">
        <f>'Actual Values'!$C$21*'NOLH Designs (2)'!S91</f>
        <v>66.42</v>
      </c>
      <c r="U90" s="12">
        <f>'Actual Values'!$A$25*'NOLH Designs (2)'!T91</f>
        <v>25.500000000000004</v>
      </c>
      <c r="V90" s="12">
        <f>'Actual Values'!$B$25*'NOLH Designs (2)'!T91</f>
        <v>41.480000000000004</v>
      </c>
      <c r="W90" s="12">
        <f>'Actual Values'!$A$13*'NOLH Designs (2)'!G91</f>
        <v>39</v>
      </c>
      <c r="X90" s="12">
        <f>'Actual Values'!$B$13*'NOLH Designs (2)'!H91</f>
        <v>42.599999999999994</v>
      </c>
      <c r="Y90" s="12">
        <f>'Actual Values'!$A$17*'NOLH Designs (2)'!Q91</f>
        <v>4.24</v>
      </c>
      <c r="Z90" s="12">
        <f>'Actual Values'!$B$17*'NOLH Designs (2)'!R91</f>
        <v>38.279999999999994</v>
      </c>
      <c r="AA90" s="12">
        <f>'Actual Values'!$C$17*'NOLH Designs (2)'!Q91</f>
        <v>2.12</v>
      </c>
      <c r="AB90" s="12">
        <f>'Actual Values'!$D$17*'NOLH Designs (2)'!R91</f>
        <v>17.399999999999999</v>
      </c>
      <c r="AC90" s="6">
        <v>0.82</v>
      </c>
      <c r="AD90" s="6">
        <v>0.11</v>
      </c>
      <c r="AE90" s="6">
        <v>0.23</v>
      </c>
      <c r="AF90" s="6">
        <v>0.89</v>
      </c>
      <c r="AG90" s="6">
        <v>0.23</v>
      </c>
      <c r="AH90" s="6">
        <v>0.4</v>
      </c>
      <c r="AI90" s="6">
        <v>0.28000000000000003</v>
      </c>
      <c r="AJ90" s="6">
        <v>0.19</v>
      </c>
    </row>
    <row r="91" spans="1:36" x14ac:dyDescent="0.2">
      <c r="A91" s="8">
        <v>88</v>
      </c>
      <c r="B91" s="6">
        <f>'Actual Values'!$B$3*'NOLH Designs (2)'!B92</f>
        <v>7279775.9999999991</v>
      </c>
      <c r="C91" s="6">
        <f>'Actual Values'!$B$5*'NOLH Designs (2)'!B92</f>
        <v>6387191.9999999991</v>
      </c>
      <c r="D91" s="6">
        <f>'Actual Values'!$B$7*'NOLH Designs (2)'!B92</f>
        <v>3351502.4999999995</v>
      </c>
      <c r="E91" s="6">
        <f>'Actual Values'!$B$9*'NOLH Designs (2)'!B92</f>
        <v>2503323.4499999997</v>
      </c>
      <c r="F91" s="12">
        <f>'Actual Values'!$C$3*'NOLH Designs (2)'!C92</f>
        <v>168806.39999999988</v>
      </c>
      <c r="G91" s="12">
        <f>'Actual Values'!$C$3-'ExpValues Eq'!F91</f>
        <v>1036953.6000000001</v>
      </c>
      <c r="H91" s="12">
        <f>F91+'Actual Values'!$D$3</f>
        <v>391806.39999999991</v>
      </c>
      <c r="I91" s="12">
        <f>'Actual Values'!$C$5*'NOLH Designs (2)'!D92</f>
        <v>116371.2000000001</v>
      </c>
      <c r="J91" s="12">
        <f>'Actual Values'!$C$5-'ExpValues Eq'!I91</f>
        <v>941548.79999999993</v>
      </c>
      <c r="K91" s="12">
        <f>I91+'Actual Values'!$D$5</f>
        <v>374371.20000000007</v>
      </c>
      <c r="L91" s="12">
        <f>'Actual Values'!$C$7*'NOLH Designs (2)'!E92</f>
        <v>5551.1400000000049</v>
      </c>
      <c r="M91" s="12">
        <f>'Actual Values'!$C$7-'ExpValues Eq'!L91</f>
        <v>549562.86</v>
      </c>
      <c r="N91" s="12">
        <f>L91+'Actual Values'!$D$7</f>
        <v>179156.14</v>
      </c>
      <c r="O91" s="12">
        <f>'Actual Values'!$C$9*'NOLH Designs (2)'!F92</f>
        <v>140973.86000000004</v>
      </c>
      <c r="P91" s="12">
        <f>'Actual Values'!$C$9-'ExpValues Eq'!O91</f>
        <v>273655.13999999996</v>
      </c>
      <c r="Q91" s="12">
        <f>O91+'Actual Values'!$D$9</f>
        <v>189948.86000000004</v>
      </c>
      <c r="R91" s="12">
        <f>'Actual Values'!$A$21*'NOLH Designs (2)'!S92</f>
        <v>98.820000000000007</v>
      </c>
      <c r="S91" s="12">
        <f>'Actual Values'!$B$21*'NOLH Designs (2)'!S92</f>
        <v>169.29000000000002</v>
      </c>
      <c r="T91" s="12">
        <f>'Actual Values'!$C$21*'NOLH Designs (2)'!S92</f>
        <v>99.63000000000001</v>
      </c>
      <c r="U91" s="12">
        <f>'Actual Values'!$A$25*'NOLH Designs (2)'!T92</f>
        <v>29.25</v>
      </c>
      <c r="V91" s="12">
        <f>'Actual Values'!$B$25*'NOLH Designs (2)'!T92</f>
        <v>47.58</v>
      </c>
      <c r="W91" s="12">
        <f>'Actual Values'!$A$13*'NOLH Designs (2)'!G92</f>
        <v>33.9</v>
      </c>
      <c r="X91" s="12">
        <f>'Actual Values'!$B$13*'NOLH Designs (2)'!H92</f>
        <v>81.600000000000009</v>
      </c>
      <c r="Y91" s="12">
        <f>'Actual Values'!$A$17*'NOLH Designs (2)'!Q92</f>
        <v>3.92</v>
      </c>
      <c r="Z91" s="12">
        <f>'Actual Values'!$B$17*'NOLH Designs (2)'!R92</f>
        <v>38.61</v>
      </c>
      <c r="AA91" s="12">
        <f>'Actual Values'!$C$17*'NOLH Designs (2)'!Q92</f>
        <v>1.96</v>
      </c>
      <c r="AB91" s="12">
        <f>'Actual Values'!$D$17*'NOLH Designs (2)'!R92</f>
        <v>17.549999999999997</v>
      </c>
      <c r="AC91" s="6">
        <v>0.62</v>
      </c>
      <c r="AD91" s="6">
        <v>0.39</v>
      </c>
      <c r="AE91" s="6">
        <v>0.14000000000000001</v>
      </c>
      <c r="AF91" s="6">
        <v>0.66</v>
      </c>
      <c r="AG91" s="6">
        <v>0.39</v>
      </c>
      <c r="AH91" s="6">
        <v>0.13</v>
      </c>
      <c r="AI91" s="6">
        <v>0.22</v>
      </c>
      <c r="AJ91" s="6">
        <v>0.14000000000000001</v>
      </c>
    </row>
    <row r="92" spans="1:36" x14ac:dyDescent="0.2">
      <c r="A92" s="8">
        <v>89</v>
      </c>
      <c r="B92" s="6">
        <f>'Actual Values'!$B$3*'NOLH Designs (2)'!B93</f>
        <v>5570611.2000000002</v>
      </c>
      <c r="C92" s="6">
        <f>'Actual Values'!$B$5*'NOLH Designs (2)'!B93</f>
        <v>4887590.4000000004</v>
      </c>
      <c r="D92" s="6">
        <f>'Actual Values'!$B$7*'NOLH Designs (2)'!B93</f>
        <v>2564628</v>
      </c>
      <c r="E92" s="6">
        <f>'Actual Values'!$B$9*'NOLH Designs (2)'!B93</f>
        <v>1915586.64</v>
      </c>
      <c r="F92" s="12">
        <f>'Actual Values'!$C$3*'NOLH Designs (2)'!C93</f>
        <v>229094.39999999994</v>
      </c>
      <c r="G92" s="12">
        <f>'Actual Values'!$C$3-'ExpValues Eq'!F92</f>
        <v>976665.60000000009</v>
      </c>
      <c r="H92" s="12">
        <f>F92+'Actual Values'!$D$3</f>
        <v>452094.39999999991</v>
      </c>
      <c r="I92" s="12">
        <f>'Actual Values'!$C$5*'NOLH Designs (2)'!D93</f>
        <v>21158.40000000002</v>
      </c>
      <c r="J92" s="12">
        <f>'Actual Values'!$C$5-'ExpValues Eq'!I92</f>
        <v>1036761.6</v>
      </c>
      <c r="K92" s="12">
        <f>I92+'Actual Values'!$D$5</f>
        <v>279158.40000000002</v>
      </c>
      <c r="L92" s="12">
        <f>'Actual Values'!$C$7*'NOLH Designs (2)'!E93</f>
        <v>5551.1400000000049</v>
      </c>
      <c r="M92" s="12">
        <f>'Actual Values'!$C$7-'ExpValues Eq'!L92</f>
        <v>549562.86</v>
      </c>
      <c r="N92" s="12">
        <f>L92+'Actual Values'!$D$7</f>
        <v>179156.14</v>
      </c>
      <c r="O92" s="12">
        <f>'Actual Values'!$C$9*'NOLH Designs (2)'!F93</f>
        <v>169997.88999999996</v>
      </c>
      <c r="P92" s="12">
        <f>'Actual Values'!$C$9-'ExpValues Eq'!O92</f>
        <v>244631.11000000004</v>
      </c>
      <c r="Q92" s="12">
        <f>O92+'Actual Values'!$D$9</f>
        <v>218972.88999999996</v>
      </c>
      <c r="R92" s="12">
        <f>'Actual Values'!$A$21*'NOLH Designs (2)'!S93</f>
        <v>81.740000000000009</v>
      </c>
      <c r="S92" s="12">
        <f>'Actual Values'!$B$21*'NOLH Designs (2)'!S93</f>
        <v>140.03</v>
      </c>
      <c r="T92" s="12">
        <f>'Actual Values'!$C$21*'NOLH Designs (2)'!S93</f>
        <v>82.410000000000011</v>
      </c>
      <c r="U92" s="12">
        <f>'Actual Values'!$A$25*'NOLH Designs (2)'!T93</f>
        <v>39</v>
      </c>
      <c r="V92" s="12">
        <f>'Actual Values'!$B$25*'NOLH Designs (2)'!T93</f>
        <v>63.440000000000005</v>
      </c>
      <c r="W92" s="12">
        <f>'Actual Values'!$A$13*'NOLH Designs (2)'!G93</f>
        <v>27</v>
      </c>
      <c r="X92" s="12">
        <f>'Actual Values'!$B$13*'NOLH Designs (2)'!H93</f>
        <v>45</v>
      </c>
      <c r="Y92" s="12">
        <f>'Actual Values'!$A$17*'NOLH Designs (2)'!Q93</f>
        <v>4.5199999999999996</v>
      </c>
      <c r="Z92" s="12">
        <f>'Actual Values'!$B$17*'NOLH Designs (2)'!R93</f>
        <v>40.92</v>
      </c>
      <c r="AA92" s="12">
        <f>'Actual Values'!$C$17*'NOLH Designs (2)'!Q93</f>
        <v>2.2599999999999998</v>
      </c>
      <c r="AB92" s="12">
        <f>'Actual Values'!$D$17*'NOLH Designs (2)'!R93</f>
        <v>18.600000000000001</v>
      </c>
      <c r="AC92" s="6">
        <v>0.82</v>
      </c>
      <c r="AD92" s="6">
        <v>0.1</v>
      </c>
      <c r="AE92" s="6">
        <v>0.28000000000000003</v>
      </c>
      <c r="AF92" s="6">
        <v>0.71</v>
      </c>
      <c r="AG92" s="6">
        <v>0.36</v>
      </c>
      <c r="AH92" s="6">
        <v>0.12</v>
      </c>
      <c r="AI92" s="6">
        <v>0.24</v>
      </c>
      <c r="AJ92" s="6">
        <v>0.17</v>
      </c>
    </row>
    <row r="93" spans="1:36" x14ac:dyDescent="0.2">
      <c r="A93" s="8">
        <v>90</v>
      </c>
      <c r="B93" s="6">
        <f>'Actual Values'!$B$3*'NOLH Designs (2)'!B94</f>
        <v>7026566.4000000004</v>
      </c>
      <c r="C93" s="6">
        <f>'Actual Values'!$B$5*'NOLH Designs (2)'!B94</f>
        <v>6165028.8000000007</v>
      </c>
      <c r="D93" s="6">
        <f>'Actual Values'!$B$7*'NOLH Designs (2)'!B94</f>
        <v>3234928.5000000005</v>
      </c>
      <c r="E93" s="6">
        <f>'Actual Values'!$B$9*'NOLH Designs (2)'!B94</f>
        <v>2416251.33</v>
      </c>
      <c r="F93" s="12">
        <f>'Actual Values'!$C$3*'NOLH Designs (2)'!C94</f>
        <v>458188.79999999987</v>
      </c>
      <c r="G93" s="12">
        <f>'Actual Values'!$C$3-'ExpValues Eq'!F93</f>
        <v>747571.20000000019</v>
      </c>
      <c r="H93" s="12">
        <f>F93+'Actual Values'!$D$3</f>
        <v>681188.79999999981</v>
      </c>
      <c r="I93" s="12">
        <f>'Actual Values'!$C$5*'NOLH Designs (2)'!D94</f>
        <v>285638.40000000002</v>
      </c>
      <c r="J93" s="12">
        <f>'Actual Values'!$C$5-'ExpValues Eq'!I93</f>
        <v>772281.6</v>
      </c>
      <c r="K93" s="12">
        <f>I93+'Actual Values'!$D$5</f>
        <v>543638.4</v>
      </c>
      <c r="L93" s="12">
        <f>'Actual Values'!$C$7*'NOLH Designs (2)'!E94</f>
        <v>111022.79999999997</v>
      </c>
      <c r="M93" s="12">
        <f>'Actual Values'!$C$7-'ExpValues Eq'!L93</f>
        <v>444091.2</v>
      </c>
      <c r="N93" s="12">
        <f>L93+'Actual Values'!$D$7</f>
        <v>284627.8</v>
      </c>
      <c r="O93" s="12">
        <f>'Actual Values'!$C$9*'NOLH Designs (2)'!F94</f>
        <v>140973.86000000004</v>
      </c>
      <c r="P93" s="12">
        <f>'Actual Values'!$C$9-'ExpValues Eq'!O93</f>
        <v>273655.13999999996</v>
      </c>
      <c r="Q93" s="12">
        <f>O93+'Actual Values'!$D$9</f>
        <v>189948.86000000004</v>
      </c>
      <c r="R93" s="12">
        <f>'Actual Values'!$A$21*'NOLH Designs (2)'!S94</f>
        <v>37.82</v>
      </c>
      <c r="S93" s="12">
        <f>'Actual Values'!$B$21*'NOLH Designs (2)'!S94</f>
        <v>64.790000000000006</v>
      </c>
      <c r="T93" s="12">
        <f>'Actual Values'!$C$21*'NOLH Designs (2)'!S94</f>
        <v>38.130000000000003</v>
      </c>
      <c r="U93" s="12">
        <f>'Actual Values'!$A$25*'NOLH Designs (2)'!T94</f>
        <v>67.5</v>
      </c>
      <c r="V93" s="12">
        <f>'Actual Values'!$B$25*'NOLH Designs (2)'!T94</f>
        <v>109.8</v>
      </c>
      <c r="W93" s="12">
        <f>'Actual Values'!$A$13*'NOLH Designs (2)'!G94</f>
        <v>18.3</v>
      </c>
      <c r="X93" s="12">
        <f>'Actual Values'!$B$13*'NOLH Designs (2)'!H94</f>
        <v>61.800000000000004</v>
      </c>
      <c r="Y93" s="12">
        <f>'Actual Values'!$A$17*'NOLH Designs (2)'!Q94</f>
        <v>3.36</v>
      </c>
      <c r="Z93" s="12">
        <f>'Actual Values'!$B$17*'NOLH Designs (2)'!R94</f>
        <v>35.64</v>
      </c>
      <c r="AA93" s="12">
        <f>'Actual Values'!$C$17*'NOLH Designs (2)'!Q94</f>
        <v>1.68</v>
      </c>
      <c r="AB93" s="12">
        <f>'Actual Values'!$D$17*'NOLH Designs (2)'!R94</f>
        <v>16.200000000000003</v>
      </c>
      <c r="AC93" s="6">
        <v>0.82</v>
      </c>
      <c r="AD93" s="6">
        <v>0.27</v>
      </c>
      <c r="AE93" s="6">
        <v>0.15</v>
      </c>
      <c r="AF93" s="6">
        <v>0.74</v>
      </c>
      <c r="AG93" s="6">
        <v>0.27</v>
      </c>
      <c r="AH93" s="6">
        <v>0.32</v>
      </c>
      <c r="AI93" s="6">
        <v>0.28000000000000003</v>
      </c>
      <c r="AJ93" s="6">
        <v>0.28999999999999998</v>
      </c>
    </row>
    <row r="94" spans="1:36" x14ac:dyDescent="0.2">
      <c r="A94" s="8">
        <v>91</v>
      </c>
      <c r="B94" s="6">
        <f>'Actual Values'!$B$3*'NOLH Designs (2)'!B95</f>
        <v>4937587.2</v>
      </c>
      <c r="C94" s="6">
        <f>'Actual Values'!$B$5*'NOLH Designs (2)'!B95</f>
        <v>4332182.4000000004</v>
      </c>
      <c r="D94" s="6">
        <f>'Actual Values'!$B$7*'NOLH Designs (2)'!B95</f>
        <v>2273193</v>
      </c>
      <c r="E94" s="6">
        <f>'Actual Values'!$B$9*'NOLH Designs (2)'!B95</f>
        <v>1697906.34</v>
      </c>
      <c r="F94" s="12">
        <f>'Actual Values'!$C$3*'NOLH Designs (2)'!C95</f>
        <v>602880</v>
      </c>
      <c r="G94" s="12">
        <f>'Actual Values'!$C$3-'ExpValues Eq'!F94</f>
        <v>602880</v>
      </c>
      <c r="H94" s="12">
        <f>F94+'Actual Values'!$D$3</f>
        <v>825880</v>
      </c>
      <c r="I94" s="12">
        <f>'Actual Values'!$C$5*'NOLH Designs (2)'!D95</f>
        <v>285638.40000000002</v>
      </c>
      <c r="J94" s="12">
        <f>'Actual Values'!$C$5-'ExpValues Eq'!I94</f>
        <v>772281.6</v>
      </c>
      <c r="K94" s="12">
        <f>I94+'Actual Values'!$D$5</f>
        <v>543638.4</v>
      </c>
      <c r="L94" s="12">
        <f>'Actual Values'!$C$7*'NOLH Designs (2)'!E95</f>
        <v>116573.93999999997</v>
      </c>
      <c r="M94" s="12">
        <f>'Actual Values'!$C$7-'ExpValues Eq'!L94</f>
        <v>438540.06000000006</v>
      </c>
      <c r="N94" s="12">
        <f>L94+'Actual Values'!$D$7</f>
        <v>290178.93999999994</v>
      </c>
      <c r="O94" s="12">
        <f>'Actual Values'!$C$9*'NOLH Designs (2)'!F95</f>
        <v>178290.46999999997</v>
      </c>
      <c r="P94" s="12">
        <f>'Actual Values'!$C$9-'ExpValues Eq'!O94</f>
        <v>236338.53000000003</v>
      </c>
      <c r="Q94" s="12">
        <f>O94+'Actual Values'!$D$9</f>
        <v>227265.46999999997</v>
      </c>
      <c r="R94" s="12">
        <f>'Actual Values'!$A$21*'NOLH Designs (2)'!S95</f>
        <v>36.6</v>
      </c>
      <c r="S94" s="12">
        <f>'Actual Values'!$B$21*'NOLH Designs (2)'!S95</f>
        <v>62.699999999999996</v>
      </c>
      <c r="T94" s="12">
        <f>'Actual Values'!$C$21*'NOLH Designs (2)'!S95</f>
        <v>36.9</v>
      </c>
      <c r="U94" s="12">
        <f>'Actual Values'!$A$25*'NOLH Designs (2)'!T95</f>
        <v>54</v>
      </c>
      <c r="V94" s="12">
        <f>'Actual Values'!$B$25*'NOLH Designs (2)'!T95</f>
        <v>87.84</v>
      </c>
      <c r="W94" s="12">
        <f>'Actual Values'!$A$13*'NOLH Designs (2)'!G95</f>
        <v>35.099999999999994</v>
      </c>
      <c r="X94" s="12">
        <f>'Actual Values'!$B$13*'NOLH Designs (2)'!H95</f>
        <v>65.400000000000006</v>
      </c>
      <c r="Y94" s="12">
        <f>'Actual Values'!$A$17*'NOLH Designs (2)'!Q95</f>
        <v>3.2</v>
      </c>
      <c r="Z94" s="12">
        <f>'Actual Values'!$B$17*'NOLH Designs (2)'!R95</f>
        <v>38.94</v>
      </c>
      <c r="AA94" s="12">
        <f>'Actual Values'!$C$17*'NOLH Designs (2)'!Q95</f>
        <v>1.6</v>
      </c>
      <c r="AB94" s="12">
        <f>'Actual Values'!$D$17*'NOLH Designs (2)'!R95</f>
        <v>17.7</v>
      </c>
      <c r="AC94" s="6">
        <v>0.66</v>
      </c>
      <c r="AD94" s="6">
        <v>0.21</v>
      </c>
      <c r="AE94" s="6">
        <v>0.31</v>
      </c>
      <c r="AF94" s="6">
        <v>0.7</v>
      </c>
      <c r="AG94" s="6">
        <v>0.3</v>
      </c>
      <c r="AH94" s="6">
        <v>0.39</v>
      </c>
      <c r="AI94" s="6">
        <v>0.26</v>
      </c>
      <c r="AJ94" s="6">
        <v>0.23</v>
      </c>
    </row>
    <row r="95" spans="1:36" x14ac:dyDescent="0.2">
      <c r="A95" s="8">
        <v>92</v>
      </c>
      <c r="B95" s="6">
        <f>'Actual Values'!$B$3*'NOLH Designs (2)'!B96</f>
        <v>7153171.1999999993</v>
      </c>
      <c r="C95" s="6">
        <f>'Actual Values'!$B$5*'NOLH Designs (2)'!B96</f>
        <v>6276110.3999999994</v>
      </c>
      <c r="D95" s="6">
        <f>'Actual Values'!$B$7*'NOLH Designs (2)'!B96</f>
        <v>3293215.4999999995</v>
      </c>
      <c r="E95" s="6">
        <f>'Actual Values'!$B$9*'NOLH Designs (2)'!B96</f>
        <v>2459787.3899999997</v>
      </c>
      <c r="F95" s="12">
        <f>'Actual Values'!$C$3*'NOLH Designs (2)'!C96</f>
        <v>168806.39999999988</v>
      </c>
      <c r="G95" s="12">
        <f>'Actual Values'!$C$3-'ExpValues Eq'!F95</f>
        <v>1036953.6000000001</v>
      </c>
      <c r="H95" s="12">
        <f>F95+'Actual Values'!$D$3</f>
        <v>391806.39999999991</v>
      </c>
      <c r="I95" s="12">
        <f>'Actual Values'!$C$5*'NOLH Designs (2)'!D96</f>
        <v>380851.20000000013</v>
      </c>
      <c r="J95" s="12">
        <f>'Actual Values'!$C$5-'ExpValues Eq'!I95</f>
        <v>677068.79999999981</v>
      </c>
      <c r="K95" s="12">
        <f>I95+'Actual Values'!$D$5</f>
        <v>638851.20000000019</v>
      </c>
      <c r="L95" s="12">
        <f>'Actual Values'!$C$7*'NOLH Designs (2)'!E96</f>
        <v>0</v>
      </c>
      <c r="M95" s="12">
        <f>'Actual Values'!$C$7-'ExpValues Eq'!L95</f>
        <v>555114</v>
      </c>
      <c r="N95" s="12">
        <f>L95+'Actual Values'!$D$7</f>
        <v>173605</v>
      </c>
      <c r="O95" s="12">
        <f>'Actual Values'!$C$9*'NOLH Designs (2)'!F96</f>
        <v>194875.62999999998</v>
      </c>
      <c r="P95" s="12">
        <f>'Actual Values'!$C$9-'ExpValues Eq'!O95</f>
        <v>219753.37000000002</v>
      </c>
      <c r="Q95" s="12">
        <f>O95+'Actual Values'!$D$9</f>
        <v>243850.62999999998</v>
      </c>
      <c r="R95" s="12">
        <f>'Actual Values'!$A$21*'NOLH Designs (2)'!S96</f>
        <v>109.8</v>
      </c>
      <c r="S95" s="12">
        <f>'Actual Values'!$B$21*'NOLH Designs (2)'!S96</f>
        <v>188.1</v>
      </c>
      <c r="T95" s="12">
        <f>'Actual Values'!$C$21*'NOLH Designs (2)'!S96</f>
        <v>110.7</v>
      </c>
      <c r="U95" s="12">
        <f>'Actual Values'!$A$25*'NOLH Designs (2)'!T96</f>
        <v>62.25</v>
      </c>
      <c r="V95" s="12">
        <f>'Actual Values'!$B$25*'NOLH Designs (2)'!T96</f>
        <v>101.25999999999999</v>
      </c>
      <c r="W95" s="12">
        <f>'Actual Values'!$A$13*'NOLH Designs (2)'!G96</f>
        <v>39.300000000000004</v>
      </c>
      <c r="X95" s="12">
        <f>'Actual Values'!$B$13*'NOLH Designs (2)'!H96</f>
        <v>55.2</v>
      </c>
      <c r="Y95" s="12">
        <f>'Actual Values'!$A$17*'NOLH Designs (2)'!Q96</f>
        <v>3.84</v>
      </c>
      <c r="Z95" s="12">
        <f>'Actual Values'!$B$17*'NOLH Designs (2)'!R96</f>
        <v>33</v>
      </c>
      <c r="AA95" s="12">
        <f>'Actual Values'!$C$17*'NOLH Designs (2)'!Q96</f>
        <v>1.92</v>
      </c>
      <c r="AB95" s="12">
        <f>'Actual Values'!$D$17*'NOLH Designs (2)'!R96</f>
        <v>15</v>
      </c>
      <c r="AC95" s="6">
        <v>0.81</v>
      </c>
      <c r="AD95" s="6">
        <v>0.31</v>
      </c>
      <c r="AE95" s="6">
        <v>0.15</v>
      </c>
      <c r="AF95" s="6">
        <v>0.76</v>
      </c>
      <c r="AG95" s="6">
        <v>0.19</v>
      </c>
      <c r="AH95" s="6">
        <v>0.25</v>
      </c>
      <c r="AI95" s="6">
        <v>0.27</v>
      </c>
      <c r="AJ95" s="6">
        <v>0.22</v>
      </c>
    </row>
    <row r="96" spans="1:36" x14ac:dyDescent="0.2">
      <c r="A96" s="8">
        <v>93</v>
      </c>
      <c r="B96" s="6">
        <f>'Actual Values'!$B$3*'NOLH Designs (2)'!B97</f>
        <v>4747680</v>
      </c>
      <c r="C96" s="6">
        <f>'Actual Values'!$B$5*'NOLH Designs (2)'!B97</f>
        <v>4165560</v>
      </c>
      <c r="D96" s="6">
        <f>'Actual Values'!$B$7*'NOLH Designs (2)'!B97</f>
        <v>2185762.5</v>
      </c>
      <c r="E96" s="6">
        <f>'Actual Values'!$B$9*'NOLH Designs (2)'!B97</f>
        <v>1632602.25</v>
      </c>
      <c r="F96" s="12">
        <f>'Actual Values'!$C$3*'NOLH Designs (2)'!C97</f>
        <v>36172.800000000032</v>
      </c>
      <c r="G96" s="12">
        <f>'Actual Values'!$C$3-'ExpValues Eq'!F96</f>
        <v>1169587.2</v>
      </c>
      <c r="H96" s="12">
        <f>F96+'Actual Values'!$D$3</f>
        <v>259172.80000000005</v>
      </c>
      <c r="I96" s="12">
        <f>'Actual Values'!$C$5*'NOLH Designs (2)'!D97</f>
        <v>338534.40000000008</v>
      </c>
      <c r="J96" s="12">
        <f>'Actual Values'!$C$5-'ExpValues Eq'!I96</f>
        <v>719385.59999999986</v>
      </c>
      <c r="K96" s="12">
        <f>I96+'Actual Values'!$D$5</f>
        <v>596534.40000000014</v>
      </c>
      <c r="L96" s="12">
        <f>'Actual Values'!$C$7*'NOLH Designs (2)'!E97</f>
        <v>83267.099999999948</v>
      </c>
      <c r="M96" s="12">
        <f>'Actual Values'!$C$7-'ExpValues Eq'!L96</f>
        <v>471846.9</v>
      </c>
      <c r="N96" s="12">
        <f>L96+'Actual Values'!$D$7</f>
        <v>256872.09999999995</v>
      </c>
      <c r="O96" s="12">
        <f>'Actual Values'!$C$9*'NOLH Designs (2)'!F97</f>
        <v>174144.17999999996</v>
      </c>
      <c r="P96" s="12">
        <f>'Actual Values'!$C$9-'ExpValues Eq'!O96</f>
        <v>240484.82000000004</v>
      </c>
      <c r="Q96" s="12">
        <f>O96+'Actual Values'!$D$9</f>
        <v>223119.17999999996</v>
      </c>
      <c r="R96" s="12">
        <f>'Actual Values'!$A$21*'NOLH Designs (2)'!S97</f>
        <v>93.94</v>
      </c>
      <c r="S96" s="12">
        <f>'Actual Values'!$B$21*'NOLH Designs (2)'!S97</f>
        <v>160.93</v>
      </c>
      <c r="T96" s="12">
        <f>'Actual Values'!$C$21*'NOLH Designs (2)'!S97</f>
        <v>94.710000000000008</v>
      </c>
      <c r="U96" s="12">
        <f>'Actual Values'!$A$25*'NOLH Designs (2)'!T97</f>
        <v>50.25</v>
      </c>
      <c r="V96" s="12">
        <f>'Actual Values'!$B$25*'NOLH Designs (2)'!T97</f>
        <v>81.740000000000009</v>
      </c>
      <c r="W96" s="12">
        <f>'Actual Values'!$A$13*'NOLH Designs (2)'!G97</f>
        <v>24</v>
      </c>
      <c r="X96" s="12">
        <f>'Actual Values'!$B$13*'NOLH Designs (2)'!H97</f>
        <v>70.8</v>
      </c>
      <c r="Y96" s="12">
        <f>'Actual Values'!$A$17*'NOLH Designs (2)'!Q97</f>
        <v>3.56</v>
      </c>
      <c r="Z96" s="12">
        <f>'Actual Values'!$B$17*'NOLH Designs (2)'!R97</f>
        <v>37.619999999999997</v>
      </c>
      <c r="AA96" s="12">
        <f>'Actual Values'!$C$17*'NOLH Designs (2)'!Q97</f>
        <v>1.78</v>
      </c>
      <c r="AB96" s="12">
        <f>'Actual Values'!$D$17*'NOLH Designs (2)'!R97</f>
        <v>17.099999999999998</v>
      </c>
      <c r="AC96" s="6">
        <v>0.72</v>
      </c>
      <c r="AD96" s="6">
        <v>0.11</v>
      </c>
      <c r="AE96" s="6">
        <v>0.38</v>
      </c>
      <c r="AF96" s="6">
        <v>0.81</v>
      </c>
      <c r="AG96" s="6">
        <v>0.16</v>
      </c>
      <c r="AH96" s="6">
        <v>0.22</v>
      </c>
      <c r="AI96" s="6">
        <v>0.28999999999999998</v>
      </c>
      <c r="AJ96" s="6">
        <v>0.2</v>
      </c>
    </row>
    <row r="97" spans="1:36" x14ac:dyDescent="0.2">
      <c r="A97" s="8">
        <v>94</v>
      </c>
      <c r="B97" s="6">
        <f>'Actual Values'!$B$3*'NOLH Designs (2)'!B98</f>
        <v>7026566.4000000004</v>
      </c>
      <c r="C97" s="6">
        <f>'Actual Values'!$B$5*'NOLH Designs (2)'!B98</f>
        <v>6165028.8000000007</v>
      </c>
      <c r="D97" s="6">
        <f>'Actual Values'!$B$7*'NOLH Designs (2)'!B98</f>
        <v>3234928.5000000005</v>
      </c>
      <c r="E97" s="6">
        <f>'Actual Values'!$B$9*'NOLH Designs (2)'!B98</f>
        <v>2416251.33</v>
      </c>
      <c r="F97" s="12">
        <f>'Actual Values'!$C$3*'NOLH Designs (2)'!C98</f>
        <v>325555.20000000001</v>
      </c>
      <c r="G97" s="12">
        <f>'Actual Values'!$C$3-'ExpValues Eq'!F97</f>
        <v>880204.80000000005</v>
      </c>
      <c r="H97" s="12">
        <f>F97+'Actual Values'!$D$3</f>
        <v>548555.19999999995</v>
      </c>
      <c r="I97" s="12">
        <f>'Actual Values'!$C$5*'NOLH Designs (2)'!D98</f>
        <v>126950.40000000011</v>
      </c>
      <c r="J97" s="12">
        <f>'Actual Values'!$C$5-'ExpValues Eq'!I97</f>
        <v>930969.59999999986</v>
      </c>
      <c r="K97" s="12">
        <f>I97+'Actual Values'!$D$5</f>
        <v>384950.40000000014</v>
      </c>
      <c r="L97" s="12">
        <f>'Actual Values'!$C$7*'NOLH Designs (2)'!E98</f>
        <v>122125.07999999999</v>
      </c>
      <c r="M97" s="12">
        <f>'Actual Values'!$C$7-'ExpValues Eq'!L97</f>
        <v>432988.92000000004</v>
      </c>
      <c r="N97" s="12">
        <f>L97+'Actual Values'!$D$7</f>
        <v>295730.07999999996</v>
      </c>
      <c r="O97" s="12">
        <f>'Actual Values'!$C$9*'NOLH Designs (2)'!F98</f>
        <v>132681.28000000003</v>
      </c>
      <c r="P97" s="12">
        <f>'Actual Values'!$C$9-'ExpValues Eq'!O97</f>
        <v>281947.71999999997</v>
      </c>
      <c r="Q97" s="12">
        <f>O97+'Actual Values'!$D$9</f>
        <v>181656.28000000003</v>
      </c>
      <c r="R97" s="12">
        <f>'Actual Values'!$A$21*'NOLH Designs (2)'!S98</f>
        <v>41.480000000000004</v>
      </c>
      <c r="S97" s="12">
        <f>'Actual Values'!$B$21*'NOLH Designs (2)'!S98</f>
        <v>71.06</v>
      </c>
      <c r="T97" s="12">
        <f>'Actual Values'!$C$21*'NOLH Designs (2)'!S98</f>
        <v>41.82</v>
      </c>
      <c r="U97" s="12">
        <f>'Actual Values'!$A$25*'NOLH Designs (2)'!T98</f>
        <v>70.5</v>
      </c>
      <c r="V97" s="12">
        <f>'Actual Values'!$B$25*'NOLH Designs (2)'!T98</f>
        <v>114.67999999999999</v>
      </c>
      <c r="W97" s="12">
        <f>'Actual Values'!$A$13*'NOLH Designs (2)'!G98</f>
        <v>29.099999999999998</v>
      </c>
      <c r="X97" s="12">
        <f>'Actual Values'!$B$13*'NOLH Designs (2)'!H98</f>
        <v>84</v>
      </c>
      <c r="Y97" s="12">
        <f>'Actual Values'!$A$17*'NOLH Designs (2)'!Q98</f>
        <v>4.76</v>
      </c>
      <c r="Z97" s="12">
        <f>'Actual Values'!$B$17*'NOLH Designs (2)'!R98</f>
        <v>33.99</v>
      </c>
      <c r="AA97" s="12">
        <f>'Actual Values'!$C$17*'NOLH Designs (2)'!Q98</f>
        <v>2.38</v>
      </c>
      <c r="AB97" s="12">
        <f>'Actual Values'!$D$17*'NOLH Designs (2)'!R98</f>
        <v>15.450000000000001</v>
      </c>
      <c r="AC97" s="6">
        <v>0.79</v>
      </c>
      <c r="AD97" s="6">
        <v>0.31</v>
      </c>
      <c r="AE97" s="6">
        <v>0.26</v>
      </c>
      <c r="AF97" s="6">
        <v>0.89</v>
      </c>
      <c r="AG97" s="6">
        <v>0.38</v>
      </c>
      <c r="AH97" s="6">
        <v>0.39</v>
      </c>
      <c r="AI97" s="6">
        <v>0.17</v>
      </c>
      <c r="AJ97" s="6">
        <v>0.15</v>
      </c>
    </row>
    <row r="98" spans="1:36" x14ac:dyDescent="0.2">
      <c r="A98" s="8">
        <v>95</v>
      </c>
      <c r="B98" s="6">
        <f>'Actual Values'!$B$3*'NOLH Designs (2)'!B99</f>
        <v>5887123.2000000002</v>
      </c>
      <c r="C98" s="6">
        <f>'Actual Values'!$B$5*'NOLH Designs (2)'!B99</f>
        <v>5165294.4000000004</v>
      </c>
      <c r="D98" s="6">
        <f>'Actual Values'!$B$7*'NOLH Designs (2)'!B99</f>
        <v>2710345.5</v>
      </c>
      <c r="E98" s="6">
        <f>'Actual Values'!$B$9*'NOLH Designs (2)'!B99</f>
        <v>2024426.79</v>
      </c>
      <c r="F98" s="12">
        <f>'Actual Values'!$C$3*'NOLH Designs (2)'!C99</f>
        <v>325555.20000000001</v>
      </c>
      <c r="G98" s="12">
        <f>'Actual Values'!$C$3-'ExpValues Eq'!F98</f>
        <v>880204.80000000005</v>
      </c>
      <c r="H98" s="12">
        <f>F98+'Actual Values'!$D$3</f>
        <v>548555.19999999995</v>
      </c>
      <c r="I98" s="12">
        <f>'Actual Values'!$C$5*'NOLH Designs (2)'!D99</f>
        <v>0</v>
      </c>
      <c r="J98" s="12">
        <f>'Actual Values'!$C$5-'ExpValues Eq'!I98</f>
        <v>1057920</v>
      </c>
      <c r="K98" s="12">
        <f>I98+'Actual Values'!$D$5</f>
        <v>258000</v>
      </c>
      <c r="L98" s="12">
        <f>'Actual Values'!$C$7*'NOLH Designs (2)'!E99</f>
        <v>83267.099999999948</v>
      </c>
      <c r="M98" s="12">
        <f>'Actual Values'!$C$7-'ExpValues Eq'!L98</f>
        <v>471846.9</v>
      </c>
      <c r="N98" s="12">
        <f>L98+'Actual Values'!$D$7</f>
        <v>256872.09999999995</v>
      </c>
      <c r="O98" s="12">
        <f>'Actual Values'!$C$9*'NOLH Designs (2)'!F99</f>
        <v>107803.54000000001</v>
      </c>
      <c r="P98" s="12">
        <f>'Actual Values'!$C$9-'ExpValues Eq'!O98</f>
        <v>306825.45999999996</v>
      </c>
      <c r="Q98" s="12">
        <f>O98+'Actual Values'!$D$9</f>
        <v>156778.54</v>
      </c>
      <c r="R98" s="12">
        <f>'Actual Values'!$A$21*'NOLH Designs (2)'!S99</f>
        <v>45.14</v>
      </c>
      <c r="S98" s="12">
        <f>'Actual Values'!$B$21*'NOLH Designs (2)'!S99</f>
        <v>77.33</v>
      </c>
      <c r="T98" s="12">
        <f>'Actual Values'!$C$21*'NOLH Designs (2)'!S99</f>
        <v>45.51</v>
      </c>
      <c r="U98" s="12">
        <f>'Actual Values'!$A$25*'NOLH Designs (2)'!T99</f>
        <v>57.75</v>
      </c>
      <c r="V98" s="12">
        <f>'Actual Values'!$B$25*'NOLH Designs (2)'!T99</f>
        <v>93.94</v>
      </c>
      <c r="W98" s="12">
        <f>'Actual Values'!$A$13*'NOLH Designs (2)'!G99</f>
        <v>31.8</v>
      </c>
      <c r="X98" s="12">
        <f>'Actual Values'!$B$13*'NOLH Designs (2)'!H99</f>
        <v>48.6</v>
      </c>
      <c r="Y98" s="12">
        <f>'Actual Values'!$A$17*'NOLH Designs (2)'!Q99</f>
        <v>4.92</v>
      </c>
      <c r="Z98" s="12">
        <f>'Actual Values'!$B$17*'NOLH Designs (2)'!R99</f>
        <v>35.31</v>
      </c>
      <c r="AA98" s="12">
        <f>'Actual Values'!$C$17*'NOLH Designs (2)'!Q99</f>
        <v>2.46</v>
      </c>
      <c r="AB98" s="12">
        <f>'Actual Values'!$D$17*'NOLH Designs (2)'!R99</f>
        <v>16.05</v>
      </c>
      <c r="AC98" s="6">
        <v>0.63</v>
      </c>
      <c r="AD98" s="6">
        <v>0.23</v>
      </c>
      <c r="AE98" s="6">
        <v>0.28999999999999998</v>
      </c>
      <c r="AF98" s="6">
        <v>0.81</v>
      </c>
      <c r="AG98" s="6">
        <v>0.36</v>
      </c>
      <c r="AH98" s="6">
        <v>0.28999999999999998</v>
      </c>
      <c r="AI98" s="6">
        <v>0.16</v>
      </c>
      <c r="AJ98" s="6">
        <v>0.1</v>
      </c>
    </row>
    <row r="99" spans="1:36" x14ac:dyDescent="0.2">
      <c r="A99" s="8">
        <v>96</v>
      </c>
      <c r="B99" s="6">
        <f>'Actual Values'!$B$3*'NOLH Designs (2)'!B100</f>
        <v>6456844.7999999998</v>
      </c>
      <c r="C99" s="6">
        <f>'Actual Values'!$B$5*'NOLH Designs (2)'!B100</f>
        <v>5665161.6000000006</v>
      </c>
      <c r="D99" s="6">
        <f>'Actual Values'!$B$7*'NOLH Designs (2)'!B100</f>
        <v>2972637</v>
      </c>
      <c r="E99" s="6">
        <f>'Actual Values'!$B$9*'NOLH Designs (2)'!B100</f>
        <v>2220339.06</v>
      </c>
      <c r="F99" s="12">
        <f>'Actual Values'!$C$3*'NOLH Designs (2)'!C100</f>
        <v>168806.39999999988</v>
      </c>
      <c r="G99" s="12">
        <f>'Actual Values'!$C$3-'ExpValues Eq'!F99</f>
        <v>1036953.6000000001</v>
      </c>
      <c r="H99" s="12">
        <f>F99+'Actual Values'!$D$3</f>
        <v>391806.39999999991</v>
      </c>
      <c r="I99" s="12">
        <f>'Actual Values'!$C$5*'NOLH Designs (2)'!D100</f>
        <v>148108.7999999999</v>
      </c>
      <c r="J99" s="12">
        <f>'Actual Values'!$C$5-'ExpValues Eq'!I99</f>
        <v>909811.20000000007</v>
      </c>
      <c r="K99" s="12">
        <f>I99+'Actual Values'!$D$5</f>
        <v>406108.79999999993</v>
      </c>
      <c r="L99" s="12">
        <f>'Actual Values'!$C$7*'NOLH Designs (2)'!E100</f>
        <v>66613.680000000066</v>
      </c>
      <c r="M99" s="12">
        <f>'Actual Values'!$C$7-'ExpValues Eq'!L99</f>
        <v>488500.31999999995</v>
      </c>
      <c r="N99" s="12">
        <f>L99+'Actual Values'!$D$7</f>
        <v>240218.68000000005</v>
      </c>
      <c r="O99" s="12">
        <f>'Actual Values'!$C$9*'NOLH Designs (2)'!F100</f>
        <v>190729.34</v>
      </c>
      <c r="P99" s="12">
        <f>'Actual Values'!$C$9-'ExpValues Eq'!O99</f>
        <v>223899.66</v>
      </c>
      <c r="Q99" s="12">
        <f>O99+'Actual Values'!$D$9</f>
        <v>239704.34</v>
      </c>
      <c r="R99" s="12">
        <f>'Actual Values'!$A$21*'NOLH Designs (2)'!S100</f>
        <v>78.08</v>
      </c>
      <c r="S99" s="12">
        <f>'Actual Values'!$B$21*'NOLH Designs (2)'!S100</f>
        <v>133.76</v>
      </c>
      <c r="T99" s="12">
        <f>'Actual Values'!$C$21*'NOLH Designs (2)'!S100</f>
        <v>78.72</v>
      </c>
      <c r="U99" s="12">
        <f>'Actual Values'!$A$25*'NOLH Designs (2)'!T100</f>
        <v>45.75</v>
      </c>
      <c r="V99" s="12">
        <f>'Actual Values'!$B$25*'NOLH Designs (2)'!T100</f>
        <v>74.42</v>
      </c>
      <c r="W99" s="12">
        <f>'Actual Values'!$A$13*'NOLH Designs (2)'!G100</f>
        <v>32.700000000000003</v>
      </c>
      <c r="X99" s="12">
        <f>'Actual Values'!$B$13*'NOLH Designs (2)'!H100</f>
        <v>82.2</v>
      </c>
      <c r="Y99" s="12">
        <f>'Actual Values'!$A$17*'NOLH Designs (2)'!Q100</f>
        <v>4.88</v>
      </c>
      <c r="Z99" s="12">
        <f>'Actual Values'!$B$17*'NOLH Designs (2)'!R100</f>
        <v>38.279999999999994</v>
      </c>
      <c r="AA99" s="12">
        <f>'Actual Values'!$C$17*'NOLH Designs (2)'!Q100</f>
        <v>2.44</v>
      </c>
      <c r="AB99" s="12">
        <f>'Actual Values'!$D$17*'NOLH Designs (2)'!R100</f>
        <v>17.399999999999999</v>
      </c>
      <c r="AC99" s="6">
        <v>0.9</v>
      </c>
      <c r="AD99" s="6">
        <v>0.36</v>
      </c>
      <c r="AE99" s="6">
        <v>0.14000000000000001</v>
      </c>
      <c r="AF99" s="6">
        <v>0.62</v>
      </c>
      <c r="AG99" s="6">
        <v>0.16</v>
      </c>
      <c r="AH99" s="6">
        <v>0.24</v>
      </c>
      <c r="AI99" s="6">
        <v>0.17</v>
      </c>
      <c r="AJ99" s="6">
        <v>0.19</v>
      </c>
    </row>
    <row r="100" spans="1:36" x14ac:dyDescent="0.2">
      <c r="A100" s="8">
        <v>97</v>
      </c>
      <c r="B100" s="6">
        <f>'Actual Values'!$B$3*'NOLH Designs (2)'!B101</f>
        <v>6203635.2000000002</v>
      </c>
      <c r="C100" s="6">
        <f>'Actual Values'!$B$5*'NOLH Designs (2)'!B101</f>
        <v>5442998.3999999994</v>
      </c>
      <c r="D100" s="6">
        <f>'Actual Values'!$B$7*'NOLH Designs (2)'!B101</f>
        <v>2856063</v>
      </c>
      <c r="E100" s="6">
        <f>'Actual Values'!$B$9*'NOLH Designs (2)'!B101</f>
        <v>2133266.94</v>
      </c>
      <c r="F100" s="12">
        <f>'Actual Values'!$C$3*'NOLH Designs (2)'!C101</f>
        <v>217036.79999999993</v>
      </c>
      <c r="G100" s="12">
        <f>'Actual Values'!$C$3-'ExpValues Eq'!F100</f>
        <v>988723.20000000007</v>
      </c>
      <c r="H100" s="12">
        <f>F100+'Actual Values'!$D$3</f>
        <v>440036.79999999993</v>
      </c>
      <c r="I100" s="12">
        <f>'Actual Values'!$C$5*'NOLH Designs (2)'!D101</f>
        <v>31737.600000000028</v>
      </c>
      <c r="J100" s="12">
        <f>'Actual Values'!$C$5-'ExpValues Eq'!I100</f>
        <v>1026182.4</v>
      </c>
      <c r="K100" s="12">
        <f>I100+'Actual Values'!$D$5</f>
        <v>289737.60000000003</v>
      </c>
      <c r="L100" s="12">
        <f>'Actual Values'!$C$7*'NOLH Designs (2)'!E101</f>
        <v>27755.700000000026</v>
      </c>
      <c r="M100" s="12">
        <f>'Actual Values'!$C$7-'ExpValues Eq'!L100</f>
        <v>527358.29999999993</v>
      </c>
      <c r="N100" s="12">
        <f>L100+'Actual Values'!$D$7</f>
        <v>201360.7</v>
      </c>
      <c r="O100" s="12">
        <f>'Actual Values'!$C$9*'NOLH Designs (2)'!F101</f>
        <v>178290.46999999997</v>
      </c>
      <c r="P100" s="12">
        <f>'Actual Values'!$C$9-'ExpValues Eq'!O100</f>
        <v>236338.53000000003</v>
      </c>
      <c r="Q100" s="12">
        <f>O100+'Actual Values'!$D$9</f>
        <v>227265.46999999997</v>
      </c>
      <c r="R100" s="12">
        <f>'Actual Values'!$A$21*'NOLH Designs (2)'!S101</f>
        <v>95.16</v>
      </c>
      <c r="S100" s="12">
        <f>'Actual Values'!$B$21*'NOLH Designs (2)'!S101</f>
        <v>163.02000000000001</v>
      </c>
      <c r="T100" s="12">
        <f>'Actual Values'!$C$21*'NOLH Designs (2)'!S101</f>
        <v>95.94</v>
      </c>
      <c r="U100" s="12">
        <f>'Actual Values'!$A$25*'NOLH Designs (2)'!T101</f>
        <v>72.75</v>
      </c>
      <c r="V100" s="12">
        <f>'Actual Values'!$B$25*'NOLH Designs (2)'!T101</f>
        <v>118.34</v>
      </c>
      <c r="W100" s="12">
        <f>'Actual Values'!$A$13*'NOLH Designs (2)'!G101</f>
        <v>24.3</v>
      </c>
      <c r="X100" s="12">
        <f>'Actual Values'!$B$13*'NOLH Designs (2)'!H101</f>
        <v>52.2</v>
      </c>
      <c r="Y100" s="12">
        <f>'Actual Values'!$A$17*'NOLH Designs (2)'!Q101</f>
        <v>4.4800000000000004</v>
      </c>
      <c r="Z100" s="12">
        <f>'Actual Values'!$B$17*'NOLH Designs (2)'!R101</f>
        <v>34.65</v>
      </c>
      <c r="AA100" s="12">
        <f>'Actual Values'!$C$17*'NOLH Designs (2)'!Q101</f>
        <v>2.2400000000000002</v>
      </c>
      <c r="AB100" s="12">
        <f>'Actual Values'!$D$17*'NOLH Designs (2)'!R101</f>
        <v>15.75</v>
      </c>
      <c r="AC100" s="6">
        <v>0.67</v>
      </c>
      <c r="AD100" s="6">
        <v>0.17</v>
      </c>
      <c r="AE100" s="6">
        <v>0.39</v>
      </c>
      <c r="AF100" s="6">
        <v>0.68</v>
      </c>
      <c r="AG100" s="6">
        <v>0.19</v>
      </c>
      <c r="AH100" s="6">
        <v>0.2</v>
      </c>
      <c r="AI100" s="6">
        <v>0.16</v>
      </c>
      <c r="AJ100" s="6">
        <v>0.15</v>
      </c>
    </row>
    <row r="101" spans="1:36" x14ac:dyDescent="0.2">
      <c r="A101" s="8">
        <v>98</v>
      </c>
      <c r="B101" s="6">
        <f>'Actual Values'!$B$3*'NOLH Designs (2)'!B102</f>
        <v>7659590.3999999994</v>
      </c>
      <c r="C101" s="6">
        <f>'Actual Values'!$B$5*'NOLH Designs (2)'!B102</f>
        <v>6720436.7999999998</v>
      </c>
      <c r="D101" s="6">
        <f>'Actual Values'!$B$7*'NOLH Designs (2)'!B102</f>
        <v>3526363.5</v>
      </c>
      <c r="E101" s="6">
        <f>'Actual Values'!$B$9*'NOLH Designs (2)'!B102</f>
        <v>2633931.63</v>
      </c>
      <c r="F101" s="12">
        <f>'Actual Values'!$C$3*'NOLH Designs (2)'!C102</f>
        <v>385843.20000000007</v>
      </c>
      <c r="G101" s="12">
        <f>'Actual Values'!$C$3-'ExpValues Eq'!F101</f>
        <v>819916.79999999993</v>
      </c>
      <c r="H101" s="12">
        <f>F101+'Actual Values'!$D$3</f>
        <v>608843.20000000007</v>
      </c>
      <c r="I101" s="12">
        <f>'Actual Values'!$C$5*'NOLH Designs (2)'!D102</f>
        <v>359692.8000000001</v>
      </c>
      <c r="J101" s="12">
        <f>'Actual Values'!$C$5-'ExpValues Eq'!I101</f>
        <v>698227.19999999995</v>
      </c>
      <c r="K101" s="12">
        <f>I101+'Actual Values'!$D$5</f>
        <v>617692.80000000005</v>
      </c>
      <c r="L101" s="12">
        <f>'Actual Values'!$C$7*'NOLH Designs (2)'!E102</f>
        <v>183187.62000000005</v>
      </c>
      <c r="M101" s="12">
        <f>'Actual Values'!$C$7-'ExpValues Eq'!L101</f>
        <v>371926.37999999995</v>
      </c>
      <c r="N101" s="12">
        <f>L101+'Actual Values'!$D$7</f>
        <v>356792.62000000005</v>
      </c>
      <c r="O101" s="12">
        <f>'Actual Values'!$C$9*'NOLH Designs (2)'!F102</f>
        <v>95364.67</v>
      </c>
      <c r="P101" s="12">
        <f>'Actual Values'!$C$9-'ExpValues Eq'!O101</f>
        <v>319264.33</v>
      </c>
      <c r="Q101" s="12">
        <f>O101+'Actual Values'!$D$9</f>
        <v>144339.66999999998</v>
      </c>
      <c r="R101" s="12">
        <f>'Actual Values'!$A$21*'NOLH Designs (2)'!S102</f>
        <v>85.399999999999991</v>
      </c>
      <c r="S101" s="12">
        <f>'Actual Values'!$B$21*'NOLH Designs (2)'!S102</f>
        <v>146.29999999999998</v>
      </c>
      <c r="T101" s="12">
        <f>'Actual Values'!$C$21*'NOLH Designs (2)'!S102</f>
        <v>86.1</v>
      </c>
      <c r="U101" s="12">
        <f>'Actual Values'!$A$25*'NOLH Designs (2)'!T102</f>
        <v>75</v>
      </c>
      <c r="V101" s="12">
        <f>'Actual Values'!$B$25*'NOLH Designs (2)'!T102</f>
        <v>122</v>
      </c>
      <c r="W101" s="12">
        <f>'Actual Values'!$A$13*'NOLH Designs (2)'!G102</f>
        <v>30.3</v>
      </c>
      <c r="X101" s="12">
        <f>'Actual Values'!$B$13*'NOLH Designs (2)'!H102</f>
        <v>40.800000000000004</v>
      </c>
      <c r="Y101" s="12">
        <f>'Actual Values'!$A$17*'NOLH Designs (2)'!Q102</f>
        <v>4.8</v>
      </c>
      <c r="Z101" s="12">
        <f>'Actual Values'!$B$17*'NOLH Designs (2)'!R102</f>
        <v>40.589999999999996</v>
      </c>
      <c r="AA101" s="12">
        <f>'Actual Values'!$C$17*'NOLH Designs (2)'!Q102</f>
        <v>2.4</v>
      </c>
      <c r="AB101" s="12">
        <f>'Actual Values'!$D$17*'NOLH Designs (2)'!R102</f>
        <v>18.45</v>
      </c>
      <c r="AC101" s="6">
        <v>0.73</v>
      </c>
      <c r="AD101" s="6">
        <v>0.13</v>
      </c>
      <c r="AE101" s="6">
        <v>0.25</v>
      </c>
      <c r="AF101" s="6">
        <v>0.63</v>
      </c>
      <c r="AG101" s="6">
        <v>0.18</v>
      </c>
      <c r="AH101" s="6">
        <v>0.23</v>
      </c>
      <c r="AI101" s="6">
        <v>0.13</v>
      </c>
      <c r="AJ101" s="6">
        <v>0.17</v>
      </c>
    </row>
    <row r="102" spans="1:36" x14ac:dyDescent="0.2">
      <c r="A102" s="8">
        <v>99</v>
      </c>
      <c r="B102" s="6">
        <f>'Actual Values'!$B$3*'NOLH Designs (2)'!B103</f>
        <v>5190796.8</v>
      </c>
      <c r="C102" s="6">
        <f>'Actual Values'!$B$5*'NOLH Designs (2)'!B103</f>
        <v>4554345.5999999996</v>
      </c>
      <c r="D102" s="6">
        <f>'Actual Values'!$B$7*'NOLH Designs (2)'!B103</f>
        <v>2389767</v>
      </c>
      <c r="E102" s="6">
        <f>'Actual Values'!$B$9*'NOLH Designs (2)'!B103</f>
        <v>1784978.46</v>
      </c>
      <c r="F102" s="12">
        <f>'Actual Values'!$C$3*'NOLH Designs (2)'!C103</f>
        <v>313497.60000000003</v>
      </c>
      <c r="G102" s="12">
        <f>'Actual Values'!$C$3-'ExpValues Eq'!F102</f>
        <v>892262.39999999991</v>
      </c>
      <c r="H102" s="12">
        <f>F102+'Actual Values'!$D$3</f>
        <v>536497.60000000009</v>
      </c>
      <c r="I102" s="12">
        <f>'Actual Values'!$C$5*'NOLH Designs (2)'!D103</f>
        <v>454905.59999999992</v>
      </c>
      <c r="J102" s="12">
        <f>'Actual Values'!$C$5-'ExpValues Eq'!I102</f>
        <v>603014.40000000014</v>
      </c>
      <c r="K102" s="12">
        <f>I102+'Actual Values'!$D$5</f>
        <v>712905.59999999986</v>
      </c>
      <c r="L102" s="12">
        <f>'Actual Values'!$C$7*'NOLH Designs (2)'!E103</f>
        <v>249801.3</v>
      </c>
      <c r="M102" s="12">
        <f>'Actual Values'!$C$7-'ExpValues Eq'!L102</f>
        <v>305312.7</v>
      </c>
      <c r="N102" s="12">
        <f>L102+'Actual Values'!$D$7</f>
        <v>423406.3</v>
      </c>
      <c r="O102" s="12">
        <f>'Actual Values'!$C$9*'NOLH Designs (2)'!F103</f>
        <v>95364.67</v>
      </c>
      <c r="P102" s="12">
        <f>'Actual Values'!$C$9-'ExpValues Eq'!O102</f>
        <v>319264.33</v>
      </c>
      <c r="Q102" s="12">
        <f>O102+'Actual Values'!$D$9</f>
        <v>144339.66999999998</v>
      </c>
      <c r="R102" s="12">
        <f>'Actual Values'!$A$21*'NOLH Designs (2)'!S103</f>
        <v>92.72</v>
      </c>
      <c r="S102" s="12">
        <f>'Actual Values'!$B$21*'NOLH Designs (2)'!S103</f>
        <v>158.84</v>
      </c>
      <c r="T102" s="12">
        <f>'Actual Values'!$C$21*'NOLH Designs (2)'!S103</f>
        <v>93.48</v>
      </c>
      <c r="U102" s="12">
        <f>'Actual Values'!$A$25*'NOLH Designs (2)'!T103</f>
        <v>54</v>
      </c>
      <c r="V102" s="12">
        <f>'Actual Values'!$B$25*'NOLH Designs (2)'!T103</f>
        <v>87.84</v>
      </c>
      <c r="W102" s="12">
        <f>'Actual Values'!$A$13*'NOLH Designs (2)'!G103</f>
        <v>32.400000000000006</v>
      </c>
      <c r="X102" s="12">
        <f>'Actual Values'!$B$13*'NOLH Designs (2)'!H103</f>
        <v>66</v>
      </c>
      <c r="Y102" s="12">
        <f>'Actual Values'!$A$17*'NOLH Designs (2)'!Q103</f>
        <v>4.6399999999999997</v>
      </c>
      <c r="Z102" s="12">
        <f>'Actual Values'!$B$17*'NOLH Designs (2)'!R103</f>
        <v>37.29</v>
      </c>
      <c r="AA102" s="12">
        <f>'Actual Values'!$C$17*'NOLH Designs (2)'!Q103</f>
        <v>2.3199999999999998</v>
      </c>
      <c r="AB102" s="12">
        <f>'Actual Values'!$D$17*'NOLH Designs (2)'!R103</f>
        <v>16.95</v>
      </c>
      <c r="AC102" s="6">
        <v>0.89</v>
      </c>
      <c r="AD102" s="6">
        <v>0.3</v>
      </c>
      <c r="AE102" s="6">
        <v>0.24</v>
      </c>
      <c r="AF102" s="6">
        <v>0.63</v>
      </c>
      <c r="AG102" s="6">
        <v>0.11</v>
      </c>
      <c r="AH102" s="6">
        <v>0.26</v>
      </c>
      <c r="AI102" s="6">
        <v>0.17</v>
      </c>
      <c r="AJ102" s="6">
        <v>0.13</v>
      </c>
    </row>
    <row r="103" spans="1:36" x14ac:dyDescent="0.2">
      <c r="A103" s="8">
        <v>100</v>
      </c>
      <c r="B103" s="6">
        <f>'Actual Values'!$B$3*'NOLH Designs (2)'!B104</f>
        <v>6773356.8000000007</v>
      </c>
      <c r="C103" s="6">
        <f>'Actual Values'!$B$5*'NOLH Designs (2)'!B104</f>
        <v>5942865.6000000006</v>
      </c>
      <c r="D103" s="6">
        <f>'Actual Values'!$B$7*'NOLH Designs (2)'!B104</f>
        <v>3118354.5</v>
      </c>
      <c r="E103" s="6">
        <f>'Actual Values'!$B$9*'NOLH Designs (2)'!B104</f>
        <v>2329179.21</v>
      </c>
      <c r="F103" s="12">
        <f>'Actual Values'!$C$3*'NOLH Designs (2)'!C104</f>
        <v>48230.400000000045</v>
      </c>
      <c r="G103" s="12">
        <f>'Actual Values'!$C$3-'ExpValues Eq'!F103</f>
        <v>1157529.5999999999</v>
      </c>
      <c r="H103" s="12">
        <f>F103+'Actual Values'!$D$3</f>
        <v>271230.40000000002</v>
      </c>
      <c r="I103" s="12">
        <f>'Actual Values'!$C$5*'NOLH Designs (2)'!D104</f>
        <v>497222.39999999997</v>
      </c>
      <c r="J103" s="12">
        <f>'Actual Values'!$C$5-'ExpValues Eq'!I103</f>
        <v>560697.60000000009</v>
      </c>
      <c r="K103" s="12">
        <f>I103+'Actual Values'!$D$5</f>
        <v>755222.39999999991</v>
      </c>
      <c r="L103" s="12">
        <f>'Actual Values'!$C$7*'NOLH Designs (2)'!E104</f>
        <v>160983.06000000003</v>
      </c>
      <c r="M103" s="12">
        <f>'Actual Values'!$C$7-'ExpValues Eq'!L103</f>
        <v>394130.93999999994</v>
      </c>
      <c r="N103" s="12">
        <f>L103+'Actual Values'!$D$7</f>
        <v>334588.06000000006</v>
      </c>
      <c r="O103" s="12">
        <f>'Actual Values'!$C$9*'NOLH Designs (2)'!F104</f>
        <v>58048.059999999961</v>
      </c>
      <c r="P103" s="12">
        <f>'Actual Values'!$C$9-'ExpValues Eq'!O103</f>
        <v>356580.94000000006</v>
      </c>
      <c r="Q103" s="12">
        <f>O103+'Actual Values'!$D$9</f>
        <v>107023.05999999997</v>
      </c>
      <c r="R103" s="12">
        <f>'Actual Values'!$A$21*'NOLH Designs (2)'!S104</f>
        <v>71.97999999999999</v>
      </c>
      <c r="S103" s="12">
        <f>'Actual Values'!$B$21*'NOLH Designs (2)'!S104</f>
        <v>123.30999999999999</v>
      </c>
      <c r="T103" s="12">
        <f>'Actual Values'!$C$21*'NOLH Designs (2)'!S104</f>
        <v>72.569999999999993</v>
      </c>
      <c r="U103" s="12">
        <f>'Actual Values'!$A$25*'NOLH Designs (2)'!T104</f>
        <v>60.750000000000007</v>
      </c>
      <c r="V103" s="12">
        <f>'Actual Values'!$B$25*'NOLH Designs (2)'!T104</f>
        <v>98.820000000000007</v>
      </c>
      <c r="W103" s="12">
        <f>'Actual Values'!$A$13*'NOLH Designs (2)'!G104</f>
        <v>38.4</v>
      </c>
      <c r="X103" s="12">
        <f>'Actual Values'!$B$13*'NOLH Designs (2)'!H104</f>
        <v>39</v>
      </c>
      <c r="Y103" s="12">
        <f>'Actual Values'!$A$17*'NOLH Designs (2)'!Q104</f>
        <v>4.72</v>
      </c>
      <c r="Z103" s="12">
        <f>'Actual Values'!$B$17*'NOLH Designs (2)'!R104</f>
        <v>35.970000000000006</v>
      </c>
      <c r="AA103" s="12">
        <f>'Actual Values'!$C$17*'NOLH Designs (2)'!Q104</f>
        <v>2.36</v>
      </c>
      <c r="AB103" s="12">
        <f>'Actual Values'!$D$17*'NOLH Designs (2)'!R104</f>
        <v>16.350000000000001</v>
      </c>
      <c r="AC103" s="6">
        <v>0.65</v>
      </c>
      <c r="AD103" s="6">
        <v>0.24</v>
      </c>
      <c r="AE103" s="6">
        <v>0.28000000000000003</v>
      </c>
      <c r="AF103" s="6">
        <v>0.83</v>
      </c>
      <c r="AG103" s="6">
        <v>0.3</v>
      </c>
      <c r="AH103" s="6">
        <v>0.36</v>
      </c>
      <c r="AI103" s="6">
        <v>0.17</v>
      </c>
      <c r="AJ103" s="6">
        <v>0.18</v>
      </c>
    </row>
    <row r="104" spans="1:36" x14ac:dyDescent="0.2">
      <c r="A104" s="8">
        <v>101</v>
      </c>
      <c r="B104" s="6">
        <f>'Actual Values'!$B$3*'NOLH Designs (2)'!B105</f>
        <v>6266937.5999999996</v>
      </c>
      <c r="C104" s="6">
        <f>'Actual Values'!$B$5*'NOLH Designs (2)'!B105</f>
        <v>5498539.2000000002</v>
      </c>
      <c r="D104" s="6">
        <f>'Actual Values'!$B$7*'NOLH Designs (2)'!B105</f>
        <v>2885206.5</v>
      </c>
      <c r="E104" s="6">
        <f>'Actual Values'!$B$9*'NOLH Designs (2)'!B105</f>
        <v>2155034.9700000002</v>
      </c>
      <c r="F104" s="12">
        <f>'Actual Values'!$C$3*'NOLH Designs (2)'!C105</f>
        <v>84403.20000000007</v>
      </c>
      <c r="G104" s="12">
        <f>'Actual Values'!$C$3-'ExpValues Eq'!F104</f>
        <v>1121356.7999999998</v>
      </c>
      <c r="H104" s="12">
        <f>F104+'Actual Values'!$D$3</f>
        <v>307403.20000000007</v>
      </c>
      <c r="I104" s="12">
        <f>'Actual Values'!$C$5*'NOLH Designs (2)'!D105</f>
        <v>444326.39999999991</v>
      </c>
      <c r="J104" s="12">
        <f>'Actual Values'!$C$5-'ExpValues Eq'!I104</f>
        <v>613593.60000000009</v>
      </c>
      <c r="K104" s="12">
        <f>I104+'Actual Values'!$D$5</f>
        <v>702326.39999999991</v>
      </c>
      <c r="L104" s="12">
        <f>'Actual Values'!$C$7*'NOLH Designs (2)'!E105</f>
        <v>155431.92000000001</v>
      </c>
      <c r="M104" s="12">
        <f>'Actual Values'!$C$7-'ExpValues Eq'!L104</f>
        <v>399682.07999999996</v>
      </c>
      <c r="N104" s="12">
        <f>L104+'Actual Values'!$D$7</f>
        <v>329036.92000000004</v>
      </c>
      <c r="O104" s="12">
        <f>'Actual Values'!$C$9*'NOLH Designs (2)'!F105</f>
        <v>74633.219999999972</v>
      </c>
      <c r="P104" s="12">
        <f>'Actual Values'!$C$9-'ExpValues Eq'!O104</f>
        <v>339995.78</v>
      </c>
      <c r="Q104" s="12">
        <f>O104+'Actual Values'!$D$9</f>
        <v>123608.21999999997</v>
      </c>
      <c r="R104" s="12">
        <f>'Actual Values'!$A$21*'NOLH Designs (2)'!S105</f>
        <v>67.100000000000009</v>
      </c>
      <c r="S104" s="12">
        <f>'Actual Values'!$B$21*'NOLH Designs (2)'!S105</f>
        <v>114.95</v>
      </c>
      <c r="T104" s="12">
        <f>'Actual Values'!$C$21*'NOLH Designs (2)'!S105</f>
        <v>67.650000000000006</v>
      </c>
      <c r="U104" s="12">
        <f>'Actual Values'!$A$25*'NOLH Designs (2)'!T105</f>
        <v>69</v>
      </c>
      <c r="V104" s="12">
        <f>'Actual Values'!$B$25*'NOLH Designs (2)'!T105</f>
        <v>112.24000000000001</v>
      </c>
      <c r="W104" s="12">
        <f>'Actual Values'!$A$13*'NOLH Designs (2)'!G105</f>
        <v>19.2</v>
      </c>
      <c r="X104" s="12">
        <f>'Actual Values'!$B$13*'NOLH Designs (2)'!H105</f>
        <v>78.600000000000009</v>
      </c>
      <c r="Y104" s="12">
        <f>'Actual Values'!$A$17*'NOLH Designs (2)'!Q105</f>
        <v>4.32</v>
      </c>
      <c r="Z104" s="12">
        <f>'Actual Values'!$B$17*'NOLH Designs (2)'!R105</f>
        <v>34.32</v>
      </c>
      <c r="AA104" s="12">
        <f>'Actual Values'!$C$17*'NOLH Designs (2)'!Q105</f>
        <v>2.16</v>
      </c>
      <c r="AB104" s="12">
        <f>'Actual Values'!$D$17*'NOLH Designs (2)'!R105</f>
        <v>15.600000000000001</v>
      </c>
      <c r="AC104" s="6">
        <v>0.86</v>
      </c>
      <c r="AD104" s="6">
        <v>0.28000000000000003</v>
      </c>
      <c r="AE104" s="6">
        <v>0.16</v>
      </c>
      <c r="AF104" s="6">
        <v>0.82</v>
      </c>
      <c r="AG104" s="6">
        <v>0.36</v>
      </c>
      <c r="AH104" s="6">
        <v>0.34</v>
      </c>
      <c r="AI104" s="6">
        <v>0.18</v>
      </c>
      <c r="AJ104" s="6">
        <v>0.16</v>
      </c>
    </row>
    <row r="105" spans="1:36" x14ac:dyDescent="0.2">
      <c r="A105" s="8">
        <v>102</v>
      </c>
      <c r="B105" s="6">
        <f>'Actual Values'!$B$3*'NOLH Designs (2)'!B106</f>
        <v>7722892.7999999998</v>
      </c>
      <c r="C105" s="6">
        <f>'Actual Values'!$B$5*'NOLH Designs (2)'!B106</f>
        <v>6775977.5999999996</v>
      </c>
      <c r="D105" s="6">
        <f>'Actual Values'!$B$7*'NOLH Designs (2)'!B106</f>
        <v>3555507</v>
      </c>
      <c r="E105" s="6">
        <f>'Actual Values'!$B$9*'NOLH Designs (2)'!B106</f>
        <v>2655699.66</v>
      </c>
      <c r="F105" s="12">
        <f>'Actual Values'!$C$3*'NOLH Designs (2)'!C106</f>
        <v>409958.40000000008</v>
      </c>
      <c r="G105" s="12">
        <f>'Actual Values'!$C$3-'ExpValues Eq'!F105</f>
        <v>795801.59999999986</v>
      </c>
      <c r="H105" s="12">
        <f>F105+'Actual Values'!$D$3</f>
        <v>632958.40000000014</v>
      </c>
      <c r="I105" s="12">
        <f>'Actual Values'!$C$5*'NOLH Designs (2)'!D106</f>
        <v>190425.59999999995</v>
      </c>
      <c r="J105" s="12">
        <f>'Actual Values'!$C$5-'ExpValues Eq'!I105</f>
        <v>867494.40000000002</v>
      </c>
      <c r="K105" s="12">
        <f>I105+'Actual Values'!$D$5</f>
        <v>448425.6</v>
      </c>
      <c r="L105" s="12">
        <f>'Actual Values'!$C$7*'NOLH Designs (2)'!E106</f>
        <v>249801.3</v>
      </c>
      <c r="M105" s="12">
        <f>'Actual Values'!$C$7-'ExpValues Eq'!L105</f>
        <v>305312.7</v>
      </c>
      <c r="N105" s="12">
        <f>L105+'Actual Values'!$D$7</f>
        <v>423406.3</v>
      </c>
      <c r="O105" s="12">
        <f>'Actual Values'!$C$9*'NOLH Designs (2)'!F106</f>
        <v>49755.480000000047</v>
      </c>
      <c r="P105" s="12">
        <f>'Actual Values'!$C$9-'ExpValues Eq'!O105</f>
        <v>364873.51999999996</v>
      </c>
      <c r="Q105" s="12">
        <f>O105+'Actual Values'!$D$9</f>
        <v>98730.48000000004</v>
      </c>
      <c r="R105" s="12">
        <f>'Actual Values'!$A$21*'NOLH Designs (2)'!S106</f>
        <v>115.89999999999999</v>
      </c>
      <c r="S105" s="12">
        <f>'Actual Values'!$B$21*'NOLH Designs (2)'!S106</f>
        <v>198.54999999999998</v>
      </c>
      <c r="T105" s="12">
        <f>'Actual Values'!$C$21*'NOLH Designs (2)'!S106</f>
        <v>116.85</v>
      </c>
      <c r="U105" s="12">
        <f>'Actual Values'!$A$25*'NOLH Designs (2)'!T106</f>
        <v>51.000000000000007</v>
      </c>
      <c r="V105" s="12">
        <f>'Actual Values'!$B$25*'NOLH Designs (2)'!T106</f>
        <v>82.960000000000008</v>
      </c>
      <c r="W105" s="12">
        <f>'Actual Values'!$A$13*'NOLH Designs (2)'!G106</f>
        <v>21.9</v>
      </c>
      <c r="X105" s="12">
        <f>'Actual Values'!$B$13*'NOLH Designs (2)'!H106</f>
        <v>61.2</v>
      </c>
      <c r="Y105" s="12">
        <f>'Actual Values'!$A$17*'NOLH Designs (2)'!Q106</f>
        <v>3.96</v>
      </c>
      <c r="Z105" s="12">
        <f>'Actual Values'!$B$17*'NOLH Designs (2)'!R106</f>
        <v>36.300000000000004</v>
      </c>
      <c r="AA105" s="12">
        <f>'Actual Values'!$C$17*'NOLH Designs (2)'!Q106</f>
        <v>1.98</v>
      </c>
      <c r="AB105" s="12">
        <f>'Actual Values'!$D$17*'NOLH Designs (2)'!R106</f>
        <v>16.5</v>
      </c>
      <c r="AC105" s="6">
        <v>0.7</v>
      </c>
      <c r="AD105" s="6">
        <v>0.22</v>
      </c>
      <c r="AE105" s="6">
        <v>0.4</v>
      </c>
      <c r="AF105" s="6">
        <v>0.83</v>
      </c>
      <c r="AG105" s="6">
        <v>0.17</v>
      </c>
      <c r="AH105" s="6">
        <v>0.18</v>
      </c>
      <c r="AI105" s="6">
        <v>0.25</v>
      </c>
      <c r="AJ105" s="6">
        <v>0.21</v>
      </c>
    </row>
    <row r="106" spans="1:36" x14ac:dyDescent="0.2">
      <c r="A106" s="8">
        <v>103</v>
      </c>
      <c r="B106" s="6">
        <f>'Actual Values'!$B$3*'NOLH Designs (2)'!B107</f>
        <v>5254099.2</v>
      </c>
      <c r="C106" s="6">
        <f>'Actual Values'!$B$5*'NOLH Designs (2)'!B107</f>
        <v>4609886.3999999994</v>
      </c>
      <c r="D106" s="6">
        <f>'Actual Values'!$B$7*'NOLH Designs (2)'!B107</f>
        <v>2418910.5</v>
      </c>
      <c r="E106" s="6">
        <f>'Actual Values'!$B$9*'NOLH Designs (2)'!B107</f>
        <v>1806746.49</v>
      </c>
      <c r="F106" s="12">
        <f>'Actual Values'!$C$3*'NOLH Designs (2)'!C107</f>
        <v>518476.79999999993</v>
      </c>
      <c r="G106" s="12">
        <f>'Actual Values'!$C$3-'ExpValues Eq'!F106</f>
        <v>687283.20000000007</v>
      </c>
      <c r="H106" s="12">
        <f>F106+'Actual Values'!$D$3</f>
        <v>741476.79999999993</v>
      </c>
      <c r="I106" s="12">
        <f>'Actual Values'!$C$5*'NOLH Designs (2)'!D107</f>
        <v>253900.79999999999</v>
      </c>
      <c r="J106" s="12">
        <f>'Actual Values'!$C$5-'ExpValues Eq'!I106</f>
        <v>804019.19999999995</v>
      </c>
      <c r="K106" s="12">
        <f>I106+'Actual Values'!$D$5</f>
        <v>511900.8</v>
      </c>
      <c r="L106" s="12">
        <f>'Actual Values'!$C$7*'NOLH Designs (2)'!E107</f>
        <v>166534.20000000001</v>
      </c>
      <c r="M106" s="12">
        <f>'Actual Values'!$C$7-'ExpValues Eq'!L106</f>
        <v>388579.8</v>
      </c>
      <c r="N106" s="12">
        <f>L106+'Actual Values'!$D$7</f>
        <v>340139.2</v>
      </c>
      <c r="O106" s="12">
        <f>'Actual Values'!$C$9*'NOLH Designs (2)'!F107</f>
        <v>0</v>
      </c>
      <c r="P106" s="12">
        <f>'Actual Values'!$C$9-'ExpValues Eq'!O106</f>
        <v>414629</v>
      </c>
      <c r="Q106" s="12">
        <f>O106+'Actual Values'!$D$9</f>
        <v>48975</v>
      </c>
      <c r="R106" s="12">
        <f>'Actual Values'!$A$21*'NOLH Designs (2)'!S107</f>
        <v>100.03999999999999</v>
      </c>
      <c r="S106" s="12">
        <f>'Actual Values'!$B$21*'NOLH Designs (2)'!S107</f>
        <v>171.38</v>
      </c>
      <c r="T106" s="12">
        <f>'Actual Values'!$C$21*'NOLH Designs (2)'!S107</f>
        <v>100.86</v>
      </c>
      <c r="U106" s="12">
        <f>'Actual Values'!$A$25*'NOLH Designs (2)'!T107</f>
        <v>57</v>
      </c>
      <c r="V106" s="12">
        <f>'Actual Values'!$B$25*'NOLH Designs (2)'!T107</f>
        <v>92.72</v>
      </c>
      <c r="W106" s="12">
        <f>'Actual Values'!$A$13*'NOLH Designs (2)'!G107</f>
        <v>34.799999999999997</v>
      </c>
      <c r="X106" s="12">
        <f>'Actual Values'!$B$13*'NOLH Designs (2)'!H107</f>
        <v>55.800000000000004</v>
      </c>
      <c r="Y106" s="12">
        <f>'Actual Values'!$A$17*'NOLH Designs (2)'!Q107</f>
        <v>3.72</v>
      </c>
      <c r="Z106" s="12">
        <f>'Actual Values'!$B$17*'NOLH Designs (2)'!R107</f>
        <v>41.25</v>
      </c>
      <c r="AA106" s="12">
        <f>'Actual Values'!$C$17*'NOLH Designs (2)'!Q107</f>
        <v>1.86</v>
      </c>
      <c r="AB106" s="12">
        <f>'Actual Values'!$D$17*'NOLH Designs (2)'!R107</f>
        <v>18.75</v>
      </c>
      <c r="AC106" s="6">
        <v>0.72</v>
      </c>
      <c r="AD106" s="6">
        <v>0.38</v>
      </c>
      <c r="AE106" s="6">
        <v>0.17</v>
      </c>
      <c r="AF106" s="6">
        <v>0.86</v>
      </c>
      <c r="AG106" s="6">
        <v>0.18</v>
      </c>
      <c r="AH106" s="6">
        <v>0.14000000000000001</v>
      </c>
      <c r="AI106" s="6">
        <v>0.26</v>
      </c>
      <c r="AJ106" s="6">
        <v>0.23</v>
      </c>
    </row>
    <row r="107" spans="1:36" x14ac:dyDescent="0.2">
      <c r="A107" s="8">
        <v>104</v>
      </c>
      <c r="B107" s="6">
        <f>'Actual Values'!$B$3*'NOLH Designs (2)'!B108</f>
        <v>6899961.6000000006</v>
      </c>
      <c r="C107" s="6">
        <f>'Actual Values'!$B$5*'NOLH Designs (2)'!B108</f>
        <v>6053947.2000000002</v>
      </c>
      <c r="D107" s="6">
        <f>'Actual Values'!$B$7*'NOLH Designs (2)'!B108</f>
        <v>3176641.5000000005</v>
      </c>
      <c r="E107" s="6">
        <f>'Actual Values'!$B$9*'NOLH Designs (2)'!B108</f>
        <v>2372715.27</v>
      </c>
      <c r="F107" s="12">
        <f>'Actual Values'!$C$3*'NOLH Designs (2)'!C108</f>
        <v>36172.800000000032</v>
      </c>
      <c r="G107" s="12">
        <f>'Actual Values'!$C$3-'ExpValues Eq'!F107</f>
        <v>1169587.2</v>
      </c>
      <c r="H107" s="12">
        <f>F107+'Actual Values'!$D$3</f>
        <v>259172.80000000005</v>
      </c>
      <c r="I107" s="12">
        <f>'Actual Values'!$C$5*'NOLH Designs (2)'!D108</f>
        <v>42316.800000000039</v>
      </c>
      <c r="J107" s="12">
        <f>'Actual Values'!$C$5-'ExpValues Eq'!I107</f>
        <v>1015603.2</v>
      </c>
      <c r="K107" s="12">
        <f>I107+'Actual Values'!$D$5</f>
        <v>300316.80000000005</v>
      </c>
      <c r="L107" s="12">
        <f>'Actual Values'!$C$7*'NOLH Designs (2)'!E108</f>
        <v>233147.87999999995</v>
      </c>
      <c r="M107" s="12">
        <f>'Actual Values'!$C$7-'ExpValues Eq'!L107</f>
        <v>321966.12000000005</v>
      </c>
      <c r="N107" s="12">
        <f>L107+'Actual Values'!$D$7</f>
        <v>406752.87999999995</v>
      </c>
      <c r="O107" s="12">
        <f>'Actual Values'!$C$9*'NOLH Designs (2)'!F108</f>
        <v>58048.059999999961</v>
      </c>
      <c r="P107" s="12">
        <f>'Actual Values'!$C$9-'ExpValues Eq'!O107</f>
        <v>356580.94000000006</v>
      </c>
      <c r="Q107" s="12">
        <f>O107+'Actual Values'!$D$9</f>
        <v>107023.05999999997</v>
      </c>
      <c r="R107" s="12">
        <f>'Actual Values'!$A$21*'NOLH Designs (2)'!S108</f>
        <v>32.940000000000005</v>
      </c>
      <c r="S107" s="12">
        <f>'Actual Values'!$B$21*'NOLH Designs (2)'!S108</f>
        <v>56.430000000000007</v>
      </c>
      <c r="T107" s="12">
        <f>'Actual Values'!$C$21*'NOLH Designs (2)'!S108</f>
        <v>33.21</v>
      </c>
      <c r="U107" s="12">
        <f>'Actual Values'!$A$25*'NOLH Designs (2)'!T108</f>
        <v>60.750000000000007</v>
      </c>
      <c r="V107" s="12">
        <f>'Actual Values'!$B$25*'NOLH Designs (2)'!T108</f>
        <v>98.820000000000007</v>
      </c>
      <c r="W107" s="12">
        <f>'Actual Values'!$A$13*'NOLH Designs (2)'!G108</f>
        <v>40.800000000000004</v>
      </c>
      <c r="X107" s="12">
        <f>'Actual Values'!$B$13*'NOLH Designs (2)'!H108</f>
        <v>73.8</v>
      </c>
      <c r="Y107" s="12">
        <f>'Actual Values'!$A$17*'NOLH Designs (2)'!Q108</f>
        <v>3.84</v>
      </c>
      <c r="Z107" s="12">
        <f>'Actual Values'!$B$17*'NOLH Designs (2)'!R108</f>
        <v>33.660000000000004</v>
      </c>
      <c r="AA107" s="12">
        <f>'Actual Values'!$C$17*'NOLH Designs (2)'!Q108</f>
        <v>1.92</v>
      </c>
      <c r="AB107" s="12">
        <f>'Actual Values'!$D$17*'NOLH Designs (2)'!R108</f>
        <v>15.3</v>
      </c>
      <c r="AC107" s="6">
        <v>0.64</v>
      </c>
      <c r="AD107" s="6">
        <v>0.2</v>
      </c>
      <c r="AE107" s="6">
        <v>0.37</v>
      </c>
      <c r="AF107" s="6">
        <v>0.72</v>
      </c>
      <c r="AG107" s="6">
        <v>0.28000000000000003</v>
      </c>
      <c r="AH107" s="6">
        <v>0.27</v>
      </c>
      <c r="AI107" s="6">
        <v>0.21</v>
      </c>
      <c r="AJ107" s="6">
        <v>0.27</v>
      </c>
    </row>
    <row r="108" spans="1:36" x14ac:dyDescent="0.2">
      <c r="A108" s="8">
        <v>105</v>
      </c>
      <c r="B108" s="6">
        <f>'Actual Values'!$B$3*'NOLH Designs (2)'!B109</f>
        <v>5190796.8</v>
      </c>
      <c r="C108" s="6">
        <f>'Actual Values'!$B$5*'NOLH Designs (2)'!B109</f>
        <v>4554345.5999999996</v>
      </c>
      <c r="D108" s="6">
        <f>'Actual Values'!$B$7*'NOLH Designs (2)'!B109</f>
        <v>2389767</v>
      </c>
      <c r="E108" s="6">
        <f>'Actual Values'!$B$9*'NOLH Designs (2)'!B109</f>
        <v>1784978.46</v>
      </c>
      <c r="F108" s="12">
        <f>'Actual Values'!$C$3*'NOLH Designs (2)'!C109</f>
        <v>96460.80000000009</v>
      </c>
      <c r="G108" s="12">
        <f>'Actual Values'!$C$3-'ExpValues Eq'!F108</f>
        <v>1109299.2</v>
      </c>
      <c r="H108" s="12">
        <f>F108+'Actual Values'!$D$3</f>
        <v>319460.8000000001</v>
      </c>
      <c r="I108" s="12">
        <f>'Actual Values'!$C$5*'NOLH Designs (2)'!D109</f>
        <v>74054.400000000067</v>
      </c>
      <c r="J108" s="12">
        <f>'Actual Values'!$C$5-'ExpValues Eq'!I108</f>
        <v>983865.6</v>
      </c>
      <c r="K108" s="12">
        <f>I108+'Actual Values'!$D$5</f>
        <v>332054.40000000008</v>
      </c>
      <c r="L108" s="12">
        <f>'Actual Values'!$C$7*'NOLH Designs (2)'!E109</f>
        <v>183187.62000000005</v>
      </c>
      <c r="M108" s="12">
        <f>'Actual Values'!$C$7-'ExpValues Eq'!L108</f>
        <v>371926.37999999995</v>
      </c>
      <c r="N108" s="12">
        <f>L108+'Actual Values'!$D$7</f>
        <v>356792.62000000005</v>
      </c>
      <c r="O108" s="12">
        <f>'Actual Values'!$C$9*'NOLH Designs (2)'!F109</f>
        <v>12438.870000000012</v>
      </c>
      <c r="P108" s="12">
        <f>'Actual Values'!$C$9-'ExpValues Eq'!O108</f>
        <v>402190.13</v>
      </c>
      <c r="Q108" s="12">
        <f>O108+'Actual Values'!$D$9</f>
        <v>61413.87000000001</v>
      </c>
      <c r="R108" s="12">
        <f>'Actual Values'!$A$21*'NOLH Designs (2)'!S109</f>
        <v>57.339999999999996</v>
      </c>
      <c r="S108" s="12">
        <f>'Actual Values'!$B$21*'NOLH Designs (2)'!S109</f>
        <v>98.22999999999999</v>
      </c>
      <c r="T108" s="12">
        <f>'Actual Values'!$C$21*'NOLH Designs (2)'!S109</f>
        <v>57.809999999999995</v>
      </c>
      <c r="U108" s="12">
        <f>'Actual Values'!$A$25*'NOLH Designs (2)'!T109</f>
        <v>55.5</v>
      </c>
      <c r="V108" s="12">
        <f>'Actual Values'!$B$25*'NOLH Designs (2)'!T109</f>
        <v>90.28</v>
      </c>
      <c r="W108" s="12">
        <f>'Actual Values'!$A$13*'NOLH Designs (2)'!G109</f>
        <v>21.299999999999997</v>
      </c>
      <c r="X108" s="12">
        <f>'Actual Values'!$B$13*'NOLH Designs (2)'!H109</f>
        <v>36.6</v>
      </c>
      <c r="Y108" s="12">
        <f>'Actual Values'!$A$17*'NOLH Designs (2)'!Q109</f>
        <v>3.8</v>
      </c>
      <c r="Z108" s="12">
        <f>'Actual Values'!$B$17*'NOLH Designs (2)'!R109</f>
        <v>37.619999999999997</v>
      </c>
      <c r="AA108" s="12">
        <f>'Actual Values'!$C$17*'NOLH Designs (2)'!Q109</f>
        <v>1.9</v>
      </c>
      <c r="AB108" s="12">
        <f>'Actual Values'!$D$17*'NOLH Designs (2)'!R109</f>
        <v>17.099999999999998</v>
      </c>
      <c r="AC108" s="6">
        <v>0.79</v>
      </c>
      <c r="AD108" s="6">
        <v>0.35</v>
      </c>
      <c r="AE108" s="6">
        <v>0.17</v>
      </c>
      <c r="AF108" s="6">
        <v>0.7</v>
      </c>
      <c r="AG108" s="6">
        <v>0.24</v>
      </c>
      <c r="AH108" s="6">
        <v>0.36</v>
      </c>
      <c r="AI108" s="6">
        <v>0.26</v>
      </c>
      <c r="AJ108" s="6">
        <v>0.27</v>
      </c>
    </row>
    <row r="109" spans="1:36" x14ac:dyDescent="0.2">
      <c r="A109" s="8">
        <v>106</v>
      </c>
      <c r="B109" s="6">
        <f>'Actual Values'!$B$3*'NOLH Designs (2)'!B110</f>
        <v>6899961.6000000006</v>
      </c>
      <c r="C109" s="6">
        <f>'Actual Values'!$B$5*'NOLH Designs (2)'!B110</f>
        <v>6053947.2000000002</v>
      </c>
      <c r="D109" s="6">
        <f>'Actual Values'!$B$7*'NOLH Designs (2)'!B110</f>
        <v>3176641.5000000005</v>
      </c>
      <c r="E109" s="6">
        <f>'Actual Values'!$B$9*'NOLH Designs (2)'!B110</f>
        <v>2372715.27</v>
      </c>
      <c r="F109" s="12">
        <f>'Actual Values'!$C$3*'NOLH Designs (2)'!C110</f>
        <v>301440</v>
      </c>
      <c r="G109" s="12">
        <f>'Actual Values'!$C$3-'ExpValues Eq'!F109</f>
        <v>904320</v>
      </c>
      <c r="H109" s="12">
        <f>F109+'Actual Values'!$D$3</f>
        <v>524440</v>
      </c>
      <c r="I109" s="12">
        <f>'Actual Values'!$C$5*'NOLH Designs (2)'!D110</f>
        <v>507801.59999999998</v>
      </c>
      <c r="J109" s="12">
        <f>'Actual Values'!$C$5-'ExpValues Eq'!I109</f>
        <v>550118.40000000002</v>
      </c>
      <c r="K109" s="12">
        <f>I109+'Actual Values'!$D$5</f>
        <v>765801.6</v>
      </c>
      <c r="L109" s="12">
        <f>'Actual Values'!$C$7*'NOLH Designs (2)'!E110</f>
        <v>222045.59999999995</v>
      </c>
      <c r="M109" s="12">
        <f>'Actual Values'!$C$7-'ExpValues Eq'!L109</f>
        <v>333068.40000000002</v>
      </c>
      <c r="N109" s="12">
        <f>L109+'Actual Values'!$D$7</f>
        <v>395650.6</v>
      </c>
      <c r="O109" s="12">
        <f>'Actual Values'!$C$9*'NOLH Designs (2)'!F110</f>
        <v>41462.900000000038</v>
      </c>
      <c r="P109" s="12">
        <f>'Actual Values'!$C$9-'ExpValues Eq'!O109</f>
        <v>373166.1</v>
      </c>
      <c r="Q109" s="12">
        <f>O109+'Actual Values'!$D$9</f>
        <v>90437.900000000038</v>
      </c>
      <c r="R109" s="12">
        <f>'Actual Values'!$A$21*'NOLH Designs (2)'!S110</f>
        <v>70.759999999999991</v>
      </c>
      <c r="S109" s="12">
        <f>'Actual Values'!$B$21*'NOLH Designs (2)'!S110</f>
        <v>121.21999999999998</v>
      </c>
      <c r="T109" s="12">
        <f>'Actual Values'!$C$21*'NOLH Designs (2)'!S110</f>
        <v>71.339999999999989</v>
      </c>
      <c r="U109" s="12">
        <f>'Actual Values'!$A$25*'NOLH Designs (2)'!T110</f>
        <v>22.5</v>
      </c>
      <c r="V109" s="12">
        <f>'Actual Values'!$B$25*'NOLH Designs (2)'!T110</f>
        <v>36.6</v>
      </c>
      <c r="W109" s="12">
        <f>'Actual Values'!$A$13*'NOLH Designs (2)'!G110</f>
        <v>25.8</v>
      </c>
      <c r="X109" s="12">
        <f>'Actual Values'!$B$13*'NOLH Designs (2)'!H110</f>
        <v>57.599999999999994</v>
      </c>
      <c r="Y109" s="12">
        <f>'Actual Values'!$A$17*'NOLH Designs (2)'!Q110</f>
        <v>5</v>
      </c>
      <c r="Z109" s="12">
        <f>'Actual Values'!$B$17*'NOLH Designs (2)'!R110</f>
        <v>40.26</v>
      </c>
      <c r="AA109" s="12">
        <f>'Actual Values'!$C$17*'NOLH Designs (2)'!Q110</f>
        <v>2.5</v>
      </c>
      <c r="AB109" s="12">
        <f>'Actual Values'!$D$17*'NOLH Designs (2)'!R110</f>
        <v>18.3</v>
      </c>
      <c r="AC109" s="6">
        <v>0.87</v>
      </c>
      <c r="AD109" s="6">
        <v>0.14000000000000001</v>
      </c>
      <c r="AE109" s="6">
        <v>0.33</v>
      </c>
      <c r="AF109" s="6">
        <v>0.64</v>
      </c>
      <c r="AG109" s="6">
        <v>0.38</v>
      </c>
      <c r="AH109" s="6">
        <v>0.12</v>
      </c>
      <c r="AI109" s="6">
        <v>0.26</v>
      </c>
      <c r="AJ109" s="6">
        <v>0.14000000000000001</v>
      </c>
    </row>
    <row r="110" spans="1:36" x14ac:dyDescent="0.2">
      <c r="A110" s="8">
        <v>107</v>
      </c>
      <c r="B110" s="6">
        <f>'Actual Values'!$B$3*'NOLH Designs (2)'!B111</f>
        <v>5317401.5999999996</v>
      </c>
      <c r="C110" s="6">
        <f>'Actual Values'!$B$5*'NOLH Designs (2)'!B111</f>
        <v>4665427.2</v>
      </c>
      <c r="D110" s="6">
        <f>'Actual Values'!$B$7*'NOLH Designs (2)'!B111</f>
        <v>2448054</v>
      </c>
      <c r="E110" s="6">
        <f>'Actual Values'!$B$9*'NOLH Designs (2)'!B111</f>
        <v>1828514.52</v>
      </c>
      <c r="F110" s="12">
        <f>'Actual Values'!$C$3*'NOLH Designs (2)'!C111</f>
        <v>373785.60000000009</v>
      </c>
      <c r="G110" s="12">
        <f>'Actual Values'!$C$3-'ExpValues Eq'!F110</f>
        <v>831974.39999999991</v>
      </c>
      <c r="H110" s="12">
        <f>F110+'Actual Values'!$D$3</f>
        <v>596785.60000000009</v>
      </c>
      <c r="I110" s="12">
        <f>'Actual Values'!$C$5*'NOLH Designs (2)'!D111</f>
        <v>306796.80000000005</v>
      </c>
      <c r="J110" s="12">
        <f>'Actual Values'!$C$5-'ExpValues Eq'!I110</f>
        <v>751123.2</v>
      </c>
      <c r="K110" s="12">
        <f>I110+'Actual Values'!$D$5</f>
        <v>564796.80000000005</v>
      </c>
      <c r="L110" s="12">
        <f>'Actual Values'!$C$7*'NOLH Designs (2)'!E111</f>
        <v>244250.15999999997</v>
      </c>
      <c r="M110" s="12">
        <f>'Actual Values'!$C$7-'ExpValues Eq'!L110</f>
        <v>310863.84000000003</v>
      </c>
      <c r="N110" s="12">
        <f>L110+'Actual Values'!$D$7</f>
        <v>417855.16</v>
      </c>
      <c r="O110" s="12">
        <f>'Actual Values'!$C$9*'NOLH Designs (2)'!F111</f>
        <v>53901.769999999953</v>
      </c>
      <c r="P110" s="12">
        <f>'Actual Values'!$C$9-'ExpValues Eq'!O110</f>
        <v>360727.23000000004</v>
      </c>
      <c r="Q110" s="12">
        <f>O110+'Actual Values'!$D$9</f>
        <v>102876.76999999996</v>
      </c>
      <c r="R110" s="12">
        <f>'Actual Values'!$A$21*'NOLH Designs (2)'!S111</f>
        <v>96.38000000000001</v>
      </c>
      <c r="S110" s="12">
        <f>'Actual Values'!$B$21*'NOLH Designs (2)'!S111</f>
        <v>165.11</v>
      </c>
      <c r="T110" s="12">
        <f>'Actual Values'!$C$21*'NOLH Designs (2)'!S111</f>
        <v>97.17</v>
      </c>
      <c r="U110" s="12">
        <f>'Actual Values'!$A$25*'NOLH Designs (2)'!T111</f>
        <v>27</v>
      </c>
      <c r="V110" s="12">
        <f>'Actual Values'!$B$25*'NOLH Designs (2)'!T111</f>
        <v>43.92</v>
      </c>
      <c r="W110" s="12">
        <f>'Actual Values'!$A$13*'NOLH Designs (2)'!G111</f>
        <v>29.4</v>
      </c>
      <c r="X110" s="12">
        <f>'Actual Values'!$B$13*'NOLH Designs (2)'!H111</f>
        <v>83.399999999999991</v>
      </c>
      <c r="Y110" s="12">
        <f>'Actual Values'!$A$17*'NOLH Designs (2)'!Q111</f>
        <v>4.68</v>
      </c>
      <c r="Z110" s="12">
        <f>'Actual Values'!$B$17*'NOLH Designs (2)'!R111</f>
        <v>39.6</v>
      </c>
      <c r="AA110" s="12">
        <f>'Actual Values'!$C$17*'NOLH Designs (2)'!Q111</f>
        <v>2.34</v>
      </c>
      <c r="AB110" s="12">
        <f>'Actual Values'!$D$17*'NOLH Designs (2)'!R111</f>
        <v>18</v>
      </c>
      <c r="AC110" s="6">
        <v>0.69</v>
      </c>
      <c r="AD110" s="6">
        <v>0.35</v>
      </c>
      <c r="AE110" s="6">
        <v>0.18</v>
      </c>
      <c r="AF110" s="6">
        <v>0.64</v>
      </c>
      <c r="AG110" s="6">
        <v>0.34</v>
      </c>
      <c r="AH110" s="6">
        <v>0.18</v>
      </c>
      <c r="AI110" s="6">
        <v>0.28000000000000003</v>
      </c>
      <c r="AJ110" s="6">
        <v>0.2</v>
      </c>
    </row>
    <row r="111" spans="1:36" x14ac:dyDescent="0.2">
      <c r="A111" s="8">
        <v>108</v>
      </c>
      <c r="B111" s="6">
        <f>'Actual Values'!$B$3*'NOLH Designs (2)'!B112</f>
        <v>6330240</v>
      </c>
      <c r="C111" s="6">
        <f>'Actual Values'!$B$5*'NOLH Designs (2)'!B112</f>
        <v>5554080</v>
      </c>
      <c r="D111" s="6">
        <f>'Actual Values'!$B$7*'NOLH Designs (2)'!B112</f>
        <v>2914350</v>
      </c>
      <c r="E111" s="6">
        <f>'Actual Values'!$B$9*'NOLH Designs (2)'!B112</f>
        <v>2176803</v>
      </c>
      <c r="F111" s="12">
        <f>'Actual Values'!$C$3*'NOLH Designs (2)'!C112</f>
        <v>192921.59999999989</v>
      </c>
      <c r="G111" s="12">
        <f>'Actual Values'!$C$3-'ExpValues Eq'!F111</f>
        <v>1012838.4000000001</v>
      </c>
      <c r="H111" s="12">
        <f>F111+'Actual Values'!$D$3</f>
        <v>415921.59999999986</v>
      </c>
      <c r="I111" s="12">
        <f>'Actual Values'!$C$5*'NOLH Designs (2)'!D112</f>
        <v>412588.79999999987</v>
      </c>
      <c r="J111" s="12">
        <f>'Actual Values'!$C$5-'ExpValues Eq'!I111</f>
        <v>645331.20000000019</v>
      </c>
      <c r="K111" s="12">
        <f>I111+'Actual Values'!$D$5</f>
        <v>670588.79999999981</v>
      </c>
      <c r="L111" s="12">
        <f>'Actual Values'!$C$7*'NOLH Designs (2)'!E112</f>
        <v>188738.76000000004</v>
      </c>
      <c r="M111" s="12">
        <f>'Actual Values'!$C$7-'ExpValues Eq'!L111</f>
        <v>366375.24</v>
      </c>
      <c r="N111" s="12">
        <f>L111+'Actual Values'!$D$7</f>
        <v>362343.76</v>
      </c>
      <c r="O111" s="12">
        <f>'Actual Values'!$C$9*'NOLH Designs (2)'!F112</f>
        <v>58048.059999999961</v>
      </c>
      <c r="P111" s="12">
        <f>'Actual Values'!$C$9-'ExpValues Eq'!O111</f>
        <v>356580.94000000006</v>
      </c>
      <c r="Q111" s="12">
        <f>O111+'Actual Values'!$D$9</f>
        <v>107023.05999999997</v>
      </c>
      <c r="R111" s="12">
        <f>'Actual Values'!$A$21*'NOLH Designs (2)'!S112</f>
        <v>43.92</v>
      </c>
      <c r="S111" s="12">
        <f>'Actual Values'!$B$21*'NOLH Designs (2)'!S112</f>
        <v>75.239999999999995</v>
      </c>
      <c r="T111" s="12">
        <f>'Actual Values'!$C$21*'NOLH Designs (2)'!S112</f>
        <v>44.28</v>
      </c>
      <c r="U111" s="12">
        <f>'Actual Values'!$A$25*'NOLH Designs (2)'!T112</f>
        <v>19.5</v>
      </c>
      <c r="V111" s="12">
        <f>'Actual Values'!$B$25*'NOLH Designs (2)'!T112</f>
        <v>31.720000000000002</v>
      </c>
      <c r="W111" s="12">
        <f>'Actual Values'!$A$13*'NOLH Designs (2)'!G112</f>
        <v>35.4</v>
      </c>
      <c r="X111" s="12">
        <f>'Actual Values'!$B$13*'NOLH Designs (2)'!H112</f>
        <v>40.800000000000004</v>
      </c>
      <c r="Y111" s="12">
        <f>'Actual Values'!$A$17*'NOLH Designs (2)'!Q112</f>
        <v>4.4400000000000004</v>
      </c>
      <c r="Z111" s="12">
        <f>'Actual Values'!$B$17*'NOLH Designs (2)'!R112</f>
        <v>38.94</v>
      </c>
      <c r="AA111" s="12">
        <f>'Actual Values'!$C$17*'NOLH Designs (2)'!Q112</f>
        <v>2.2200000000000002</v>
      </c>
      <c r="AB111" s="12">
        <f>'Actual Values'!$D$17*'NOLH Designs (2)'!R112</f>
        <v>17.7</v>
      </c>
      <c r="AC111" s="6">
        <v>0.87</v>
      </c>
      <c r="AD111" s="6">
        <v>0.15</v>
      </c>
      <c r="AE111" s="6">
        <v>0.3</v>
      </c>
      <c r="AF111" s="6">
        <v>0.79</v>
      </c>
      <c r="AG111" s="6">
        <v>0.17</v>
      </c>
      <c r="AH111" s="6">
        <v>0.35</v>
      </c>
      <c r="AI111" s="6">
        <v>0.19</v>
      </c>
      <c r="AJ111" s="6">
        <v>0.11</v>
      </c>
    </row>
    <row r="112" spans="1:36" x14ac:dyDescent="0.2">
      <c r="A112" s="8">
        <v>109</v>
      </c>
      <c r="B112" s="6">
        <f>'Actual Values'!$B$3*'NOLH Designs (2)'!B113</f>
        <v>5950425.5999999996</v>
      </c>
      <c r="C112" s="6">
        <f>'Actual Values'!$B$5*'NOLH Designs (2)'!B113</f>
        <v>5220835.1999999993</v>
      </c>
      <c r="D112" s="6">
        <f>'Actual Values'!$B$7*'NOLH Designs (2)'!B113</f>
        <v>2739489</v>
      </c>
      <c r="E112" s="6">
        <f>'Actual Values'!$B$9*'NOLH Designs (2)'!B113</f>
        <v>2046194.8199999998</v>
      </c>
      <c r="F112" s="12">
        <f>'Actual Values'!$C$3*'NOLH Designs (2)'!C113</f>
        <v>108518.4000000001</v>
      </c>
      <c r="G112" s="12">
        <f>'Actual Values'!$C$3-'ExpValues Eq'!F112</f>
        <v>1097241.5999999999</v>
      </c>
      <c r="H112" s="12">
        <f>F112+'Actual Values'!$D$3</f>
        <v>331518.40000000008</v>
      </c>
      <c r="I112" s="12">
        <f>'Actual Values'!$C$5*'NOLH Designs (2)'!D113</f>
        <v>465484.79999999993</v>
      </c>
      <c r="J112" s="12">
        <f>'Actual Values'!$C$5-'ExpValues Eq'!I112</f>
        <v>592435.20000000007</v>
      </c>
      <c r="K112" s="12">
        <f>I112+'Actual Values'!$D$5</f>
        <v>723484.79999999993</v>
      </c>
      <c r="L112" s="12">
        <f>'Actual Values'!$C$7*'NOLH Designs (2)'!E113</f>
        <v>238699.01999999996</v>
      </c>
      <c r="M112" s="12">
        <f>'Actual Values'!$C$7-'ExpValues Eq'!L112</f>
        <v>316414.98000000004</v>
      </c>
      <c r="N112" s="12">
        <f>L112+'Actual Values'!$D$7</f>
        <v>412304.01999999996</v>
      </c>
      <c r="O112" s="12">
        <f>'Actual Values'!$C$9*'NOLH Designs (2)'!F113</f>
        <v>78779.50999999998</v>
      </c>
      <c r="P112" s="12">
        <f>'Actual Values'!$C$9-'ExpValues Eq'!O112</f>
        <v>335849.49</v>
      </c>
      <c r="Q112" s="12">
        <f>O112+'Actual Values'!$D$9</f>
        <v>127754.50999999998</v>
      </c>
      <c r="R112" s="12">
        <f>'Actual Values'!$A$21*'NOLH Designs (2)'!S113</f>
        <v>46.36</v>
      </c>
      <c r="S112" s="12">
        <f>'Actual Values'!$B$21*'NOLH Designs (2)'!S113</f>
        <v>79.42</v>
      </c>
      <c r="T112" s="12">
        <f>'Actual Values'!$C$21*'NOLH Designs (2)'!S113</f>
        <v>46.74</v>
      </c>
      <c r="U112" s="12">
        <f>'Actual Values'!$A$25*'NOLH Designs (2)'!T113</f>
        <v>30.749999999999996</v>
      </c>
      <c r="V112" s="12">
        <f>'Actual Values'!$B$25*'NOLH Designs (2)'!T113</f>
        <v>50.019999999999996</v>
      </c>
      <c r="W112" s="12">
        <f>'Actual Values'!$A$13*'NOLH Designs (2)'!G113</f>
        <v>24.3</v>
      </c>
      <c r="X112" s="12">
        <f>'Actual Values'!$B$13*'NOLH Designs (2)'!H113</f>
        <v>72.599999999999994</v>
      </c>
      <c r="Y112" s="12">
        <f>'Actual Values'!$A$17*'NOLH Designs (2)'!Q113</f>
        <v>5</v>
      </c>
      <c r="Z112" s="12">
        <f>'Actual Values'!$B$17*'NOLH Designs (2)'!R113</f>
        <v>37.29</v>
      </c>
      <c r="AA112" s="12">
        <f>'Actual Values'!$C$17*'NOLH Designs (2)'!Q113</f>
        <v>2.5</v>
      </c>
      <c r="AB112" s="12">
        <f>'Actual Values'!$D$17*'NOLH Designs (2)'!R113</f>
        <v>16.95</v>
      </c>
      <c r="AC112" s="6">
        <v>0.62</v>
      </c>
      <c r="AD112" s="6">
        <v>0.31</v>
      </c>
      <c r="AE112" s="6">
        <v>0.2</v>
      </c>
      <c r="AF112" s="6">
        <v>0.87</v>
      </c>
      <c r="AG112" s="6">
        <v>0.15</v>
      </c>
      <c r="AH112" s="6">
        <v>0.33</v>
      </c>
      <c r="AI112" s="6">
        <v>0.2</v>
      </c>
      <c r="AJ112" s="6">
        <v>0.18</v>
      </c>
    </row>
    <row r="113" spans="1:36" x14ac:dyDescent="0.2">
      <c r="A113" s="8">
        <v>110</v>
      </c>
      <c r="B113" s="6">
        <f>'Actual Values'!$B$3*'NOLH Designs (2)'!B114</f>
        <v>7216473.5999999996</v>
      </c>
      <c r="C113" s="6">
        <f>'Actual Values'!$B$5*'NOLH Designs (2)'!B114</f>
        <v>6331651.1999999993</v>
      </c>
      <c r="D113" s="6">
        <f>'Actual Values'!$B$7*'NOLH Designs (2)'!B114</f>
        <v>3322358.9999999995</v>
      </c>
      <c r="E113" s="6">
        <f>'Actual Values'!$B$9*'NOLH Designs (2)'!B114</f>
        <v>2481555.42</v>
      </c>
      <c r="F113" s="12">
        <f>'Actual Values'!$C$3*'NOLH Designs (2)'!C114</f>
        <v>578764.79999999993</v>
      </c>
      <c r="G113" s="12">
        <f>'Actual Values'!$C$3-'ExpValues Eq'!F113</f>
        <v>626995.20000000007</v>
      </c>
      <c r="H113" s="12">
        <f>F113+'Actual Values'!$D$3</f>
        <v>801764.79999999993</v>
      </c>
      <c r="I113" s="12">
        <f>'Actual Values'!$C$5*'NOLH Designs (2)'!D114</f>
        <v>264480</v>
      </c>
      <c r="J113" s="12">
        <f>'Actual Values'!$C$5-'ExpValues Eq'!I113</f>
        <v>793440</v>
      </c>
      <c r="K113" s="12">
        <f>I113+'Actual Values'!$D$5</f>
        <v>522480</v>
      </c>
      <c r="L113" s="12">
        <f>'Actual Values'!$C$7*'NOLH Designs (2)'!E114</f>
        <v>166534.20000000001</v>
      </c>
      <c r="M113" s="12">
        <f>'Actual Values'!$C$7-'ExpValues Eq'!L113</f>
        <v>388579.8</v>
      </c>
      <c r="N113" s="12">
        <f>L113+'Actual Values'!$D$7</f>
        <v>340139.2</v>
      </c>
      <c r="O113" s="12">
        <f>'Actual Values'!$C$9*'NOLH Designs (2)'!F114</f>
        <v>37316.61000000003</v>
      </c>
      <c r="P113" s="12">
        <f>'Actual Values'!$C$9-'ExpValues Eq'!O113</f>
        <v>377312.38999999996</v>
      </c>
      <c r="Q113" s="12">
        <f>O113+'Actual Values'!$D$9</f>
        <v>86291.61000000003</v>
      </c>
      <c r="R113" s="12">
        <f>'Actual Values'!$A$21*'NOLH Designs (2)'!S114</f>
        <v>118.34</v>
      </c>
      <c r="S113" s="12">
        <f>'Actual Values'!$B$21*'NOLH Designs (2)'!S114</f>
        <v>202.73</v>
      </c>
      <c r="T113" s="12">
        <f>'Actual Values'!$C$21*'NOLH Designs (2)'!S114</f>
        <v>119.31</v>
      </c>
      <c r="U113" s="12">
        <f>'Actual Values'!$A$25*'NOLH Designs (2)'!T114</f>
        <v>45</v>
      </c>
      <c r="V113" s="12">
        <f>'Actual Values'!$B$25*'NOLH Designs (2)'!T114</f>
        <v>73.2</v>
      </c>
      <c r="W113" s="12">
        <f>'Actual Values'!$A$13*'NOLH Designs (2)'!G114</f>
        <v>28.5</v>
      </c>
      <c r="X113" s="12">
        <f>'Actual Values'!$B$13*'NOLH Designs (2)'!H114</f>
        <v>70.199999999999989</v>
      </c>
      <c r="Y113" s="12">
        <f>'Actual Values'!$A$17*'NOLH Designs (2)'!Q114</f>
        <v>3.8</v>
      </c>
      <c r="Z113" s="12">
        <f>'Actual Values'!$B$17*'NOLH Designs (2)'!R114</f>
        <v>37.949999999999996</v>
      </c>
      <c r="AA113" s="12">
        <f>'Actual Values'!$C$17*'NOLH Designs (2)'!Q114</f>
        <v>1.9</v>
      </c>
      <c r="AB113" s="12">
        <f>'Actual Values'!$D$17*'NOLH Designs (2)'!R114</f>
        <v>17.25</v>
      </c>
      <c r="AC113" s="6">
        <v>0.73</v>
      </c>
      <c r="AD113" s="6">
        <v>0.13</v>
      </c>
      <c r="AE113" s="6">
        <v>0.3</v>
      </c>
      <c r="AF113" s="6">
        <v>0.84</v>
      </c>
      <c r="AG113" s="6">
        <v>0.39</v>
      </c>
      <c r="AH113" s="6">
        <v>0.13</v>
      </c>
      <c r="AI113" s="6">
        <v>0.13</v>
      </c>
      <c r="AJ113" s="6">
        <v>0.28000000000000003</v>
      </c>
    </row>
    <row r="114" spans="1:36" x14ac:dyDescent="0.2">
      <c r="A114" s="8">
        <v>111</v>
      </c>
      <c r="B114" s="6">
        <f>'Actual Values'!$B$3*'NOLH Designs (2)'!B115</f>
        <v>5127494.4000000004</v>
      </c>
      <c r="C114" s="6">
        <f>'Actual Values'!$B$5*'NOLH Designs (2)'!B115</f>
        <v>4498804.8000000007</v>
      </c>
      <c r="D114" s="6">
        <f>'Actual Values'!$B$7*'NOLH Designs (2)'!B115</f>
        <v>2360623.5</v>
      </c>
      <c r="E114" s="6">
        <f>'Actual Values'!$B$9*'NOLH Designs (2)'!B115</f>
        <v>1763210.4300000002</v>
      </c>
      <c r="F114" s="12">
        <f>'Actual Values'!$C$3*'NOLH Designs (2)'!C115</f>
        <v>349670.40000000002</v>
      </c>
      <c r="G114" s="12">
        <f>'Actual Values'!$C$3-'ExpValues Eq'!F114</f>
        <v>856089.59999999998</v>
      </c>
      <c r="H114" s="12">
        <f>F114+'Actual Values'!$D$3</f>
        <v>572670.4</v>
      </c>
      <c r="I114" s="12">
        <f>'Actual Values'!$C$5*'NOLH Designs (2)'!D115</f>
        <v>201004.79999999993</v>
      </c>
      <c r="J114" s="12">
        <f>'Actual Values'!$C$5-'ExpValues Eq'!I114</f>
        <v>856915.20000000007</v>
      </c>
      <c r="K114" s="12">
        <f>I114+'Actual Values'!$D$5</f>
        <v>459004.79999999993</v>
      </c>
      <c r="L114" s="12">
        <f>'Actual Values'!$C$7*'NOLH Designs (2)'!E115</f>
        <v>255352.43999999997</v>
      </c>
      <c r="M114" s="12">
        <f>'Actual Values'!$C$7-'ExpValues Eq'!L114</f>
        <v>299761.56000000006</v>
      </c>
      <c r="N114" s="12">
        <f>L114+'Actual Values'!$D$7</f>
        <v>428957.43999999994</v>
      </c>
      <c r="O114" s="12">
        <f>'Actual Values'!$C$9*'NOLH Designs (2)'!F115</f>
        <v>74633.219999999972</v>
      </c>
      <c r="P114" s="12">
        <f>'Actual Values'!$C$9-'ExpValues Eq'!O114</f>
        <v>339995.78</v>
      </c>
      <c r="Q114" s="12">
        <f>O114+'Actual Values'!$D$9</f>
        <v>123608.21999999997</v>
      </c>
      <c r="R114" s="12">
        <f>'Actual Values'!$A$21*'NOLH Designs (2)'!S115</f>
        <v>104.92</v>
      </c>
      <c r="S114" s="12">
        <f>'Actual Values'!$B$21*'NOLH Designs (2)'!S115</f>
        <v>179.74</v>
      </c>
      <c r="T114" s="12">
        <f>'Actual Values'!$C$21*'NOLH Designs (2)'!S115</f>
        <v>105.78</v>
      </c>
      <c r="U114" s="12">
        <f>'Actual Values'!$A$25*'NOLH Designs (2)'!T115</f>
        <v>32.25</v>
      </c>
      <c r="V114" s="12">
        <f>'Actual Values'!$B$25*'NOLH Designs (2)'!T115</f>
        <v>52.46</v>
      </c>
      <c r="W114" s="12">
        <f>'Actual Values'!$A$13*'NOLH Designs (2)'!G115</f>
        <v>41.699999999999996</v>
      </c>
      <c r="X114" s="12">
        <f>'Actual Values'!$B$13*'NOLH Designs (2)'!H115</f>
        <v>59.4</v>
      </c>
      <c r="Y114" s="12">
        <f>'Actual Values'!$A$17*'NOLH Designs (2)'!Q115</f>
        <v>3.6</v>
      </c>
      <c r="Z114" s="12">
        <f>'Actual Values'!$B$17*'NOLH Designs (2)'!R115</f>
        <v>34.980000000000004</v>
      </c>
      <c r="AA114" s="12">
        <f>'Actual Values'!$C$17*'NOLH Designs (2)'!Q115</f>
        <v>1.8</v>
      </c>
      <c r="AB114" s="12">
        <f>'Actual Values'!$D$17*'NOLH Designs (2)'!R115</f>
        <v>15.9</v>
      </c>
      <c r="AC114" s="6">
        <v>0.7</v>
      </c>
      <c r="AD114" s="6">
        <v>0.27</v>
      </c>
      <c r="AE114" s="6">
        <v>0.15</v>
      </c>
      <c r="AF114" s="6">
        <v>0.79</v>
      </c>
      <c r="AG114" s="6">
        <v>0.35</v>
      </c>
      <c r="AH114" s="6">
        <v>0.23</v>
      </c>
      <c r="AI114" s="6">
        <v>0.12</v>
      </c>
      <c r="AJ114" s="6">
        <v>0.24</v>
      </c>
    </row>
    <row r="115" spans="1:36" x14ac:dyDescent="0.2">
      <c r="A115" s="8">
        <v>112</v>
      </c>
      <c r="B115" s="6">
        <f>'Actual Values'!$B$3*'NOLH Designs (2)'!B116</f>
        <v>7786195.2000000002</v>
      </c>
      <c r="C115" s="6">
        <f>'Actual Values'!$B$5*'NOLH Designs (2)'!B116</f>
        <v>6831518.3999999994</v>
      </c>
      <c r="D115" s="6">
        <f>'Actual Values'!$B$7*'NOLH Designs (2)'!B116</f>
        <v>3584650.5</v>
      </c>
      <c r="E115" s="6">
        <f>'Actual Values'!$B$9*'NOLH Designs (2)'!B116</f>
        <v>2677467.69</v>
      </c>
      <c r="F115" s="12">
        <f>'Actual Values'!$C$3*'NOLH Designs (2)'!C116</f>
        <v>132633.60000000012</v>
      </c>
      <c r="G115" s="12">
        <f>'Actual Values'!$C$3-'ExpValues Eq'!F115</f>
        <v>1073126.3999999999</v>
      </c>
      <c r="H115" s="12">
        <f>F115+'Actual Values'!$D$3</f>
        <v>355633.60000000009</v>
      </c>
      <c r="I115" s="12">
        <f>'Actual Values'!$C$5*'NOLH Designs (2)'!D116</f>
        <v>169267.19999999992</v>
      </c>
      <c r="J115" s="12">
        <f>'Actual Values'!$C$5-'ExpValues Eq'!I115</f>
        <v>888652.80000000005</v>
      </c>
      <c r="K115" s="12">
        <f>I115+'Actual Values'!$D$5</f>
        <v>427267.19999999995</v>
      </c>
      <c r="L115" s="12">
        <f>'Actual Values'!$C$7*'NOLH Designs (2)'!E116</f>
        <v>149880.78</v>
      </c>
      <c r="M115" s="12">
        <f>'Actual Values'!$C$7-'ExpValues Eq'!L115</f>
        <v>405233.22</v>
      </c>
      <c r="N115" s="12">
        <f>L115+'Actual Values'!$D$7</f>
        <v>323485.78000000003</v>
      </c>
      <c r="O115" s="12">
        <f>'Actual Values'!$C$9*'NOLH Designs (2)'!F116</f>
        <v>45609.190000000039</v>
      </c>
      <c r="P115" s="12">
        <f>'Actual Values'!$C$9-'ExpValues Eq'!O115</f>
        <v>369019.80999999994</v>
      </c>
      <c r="Q115" s="12">
        <f>O115+'Actual Values'!$D$9</f>
        <v>94584.190000000031</v>
      </c>
      <c r="R115" s="12">
        <f>'Actual Values'!$A$21*'NOLH Designs (2)'!S116</f>
        <v>56.120000000000005</v>
      </c>
      <c r="S115" s="12">
        <f>'Actual Values'!$B$21*'NOLH Designs (2)'!S116</f>
        <v>96.14</v>
      </c>
      <c r="T115" s="12">
        <f>'Actual Values'!$C$21*'NOLH Designs (2)'!S116</f>
        <v>56.580000000000005</v>
      </c>
      <c r="U115" s="12">
        <f>'Actual Values'!$A$25*'NOLH Designs (2)'!T116</f>
        <v>49.5</v>
      </c>
      <c r="V115" s="12">
        <f>'Actual Values'!$B$25*'NOLH Designs (2)'!T116</f>
        <v>80.52000000000001</v>
      </c>
      <c r="W115" s="12">
        <f>'Actual Values'!$A$13*'NOLH Designs (2)'!G116</f>
        <v>38.700000000000003</v>
      </c>
      <c r="X115" s="12">
        <f>'Actual Values'!$B$13*'NOLH Designs (2)'!H116</f>
        <v>75.599999999999994</v>
      </c>
      <c r="Y115" s="12">
        <f>'Actual Values'!$A$17*'NOLH Designs (2)'!Q116</f>
        <v>3.52</v>
      </c>
      <c r="Z115" s="12">
        <f>'Actual Values'!$B$17*'NOLH Designs (2)'!R116</f>
        <v>36.96</v>
      </c>
      <c r="AA115" s="12">
        <f>'Actual Values'!$C$17*'NOLH Designs (2)'!Q116</f>
        <v>1.76</v>
      </c>
      <c r="AB115" s="12">
        <f>'Actual Values'!$D$17*'NOLH Designs (2)'!R116</f>
        <v>16.8</v>
      </c>
      <c r="AC115" s="6">
        <v>0.85</v>
      </c>
      <c r="AD115" s="6">
        <v>0.15</v>
      </c>
      <c r="AE115" s="6">
        <v>0.4</v>
      </c>
      <c r="AF115" s="6">
        <v>0.71</v>
      </c>
      <c r="AG115" s="6">
        <v>0.26</v>
      </c>
      <c r="AH115" s="6">
        <v>0.38</v>
      </c>
      <c r="AI115" s="6">
        <v>0.11</v>
      </c>
      <c r="AJ115" s="6">
        <v>0.26</v>
      </c>
    </row>
    <row r="116" spans="1:36" x14ac:dyDescent="0.2">
      <c r="A116" s="8">
        <v>113</v>
      </c>
      <c r="B116" s="6">
        <f>'Actual Values'!$B$3*'NOLH Designs (2)'!B117</f>
        <v>6077030.3999999994</v>
      </c>
      <c r="C116" s="6">
        <f>'Actual Values'!$B$5*'NOLH Designs (2)'!B117</f>
        <v>5331916.7999999998</v>
      </c>
      <c r="D116" s="6">
        <f>'Actual Values'!$B$7*'NOLH Designs (2)'!B117</f>
        <v>2797776</v>
      </c>
      <c r="E116" s="6">
        <f>'Actual Values'!$B$9*'NOLH Designs (2)'!B117</f>
        <v>2089730.88</v>
      </c>
      <c r="F116" s="12">
        <f>'Actual Values'!$C$3*'NOLH Designs (2)'!C117</f>
        <v>72345.600000000064</v>
      </c>
      <c r="G116" s="12">
        <f>'Actual Values'!$C$3-'ExpValues Eq'!F116</f>
        <v>1133414.3999999999</v>
      </c>
      <c r="H116" s="12">
        <f>F116+'Actual Values'!$D$3</f>
        <v>295345.60000000009</v>
      </c>
      <c r="I116" s="12">
        <f>'Actual Values'!$C$5*'NOLH Designs (2)'!D117</f>
        <v>95212.80000000009</v>
      </c>
      <c r="J116" s="12">
        <f>'Actual Values'!$C$5-'ExpValues Eq'!I116</f>
        <v>962707.2</v>
      </c>
      <c r="K116" s="12">
        <f>I116+'Actual Values'!$D$5</f>
        <v>353212.8000000001</v>
      </c>
      <c r="L116" s="12">
        <f>'Actual Values'!$C$7*'NOLH Designs (2)'!E117</f>
        <v>227596.73999999996</v>
      </c>
      <c r="M116" s="12">
        <f>'Actual Values'!$C$7-'ExpValues Eq'!L116</f>
        <v>327517.26</v>
      </c>
      <c r="N116" s="12">
        <f>L116+'Actual Values'!$D$7</f>
        <v>401201.74</v>
      </c>
      <c r="O116" s="12">
        <f>'Actual Values'!$C$9*'NOLH Designs (2)'!F117</f>
        <v>8292.5800000000072</v>
      </c>
      <c r="P116" s="12">
        <f>'Actual Values'!$C$9-'ExpValues Eq'!O116</f>
        <v>406336.42</v>
      </c>
      <c r="Q116" s="12">
        <f>O116+'Actual Values'!$D$9</f>
        <v>57267.580000000009</v>
      </c>
      <c r="R116" s="12">
        <f>'Actual Values'!$A$21*'NOLH Designs (2)'!S117</f>
        <v>50.019999999999996</v>
      </c>
      <c r="S116" s="12">
        <f>'Actual Values'!$B$21*'NOLH Designs (2)'!S117</f>
        <v>85.69</v>
      </c>
      <c r="T116" s="12">
        <f>'Actual Values'!$C$21*'NOLH Designs (2)'!S117</f>
        <v>50.43</v>
      </c>
      <c r="U116" s="12">
        <f>'Actual Values'!$A$25*'NOLH Designs (2)'!T117</f>
        <v>37.5</v>
      </c>
      <c r="V116" s="12">
        <f>'Actual Values'!$B$25*'NOLH Designs (2)'!T117</f>
        <v>61</v>
      </c>
      <c r="W116" s="12">
        <f>'Actual Values'!$A$13*'NOLH Designs (2)'!G117</f>
        <v>23.400000000000002</v>
      </c>
      <c r="X116" s="12">
        <f>'Actual Values'!$B$13*'NOLH Designs (2)'!H117</f>
        <v>50.4</v>
      </c>
      <c r="Y116" s="12">
        <f>'Actual Values'!$A$17*'NOLH Designs (2)'!Q117</f>
        <v>3.48</v>
      </c>
      <c r="Z116" s="12">
        <f>'Actual Values'!$B$17*'NOLH Designs (2)'!R117</f>
        <v>36.300000000000004</v>
      </c>
      <c r="AA116" s="12">
        <f>'Actual Values'!$C$17*'NOLH Designs (2)'!Q117</f>
        <v>1.74</v>
      </c>
      <c r="AB116" s="12">
        <f>'Actual Values'!$D$17*'NOLH Designs (2)'!R117</f>
        <v>16.5</v>
      </c>
      <c r="AC116" s="6">
        <v>0.61</v>
      </c>
      <c r="AD116" s="6">
        <v>0.26</v>
      </c>
      <c r="AE116" s="6">
        <v>0.18</v>
      </c>
      <c r="AF116" s="6">
        <v>0.72</v>
      </c>
      <c r="AG116" s="6">
        <v>0.21</v>
      </c>
      <c r="AH116" s="6">
        <v>0.22</v>
      </c>
      <c r="AI116" s="6">
        <v>0.13</v>
      </c>
      <c r="AJ116" s="6">
        <v>0.27</v>
      </c>
    </row>
    <row r="117" spans="1:36" x14ac:dyDescent="0.2">
      <c r="A117" s="8">
        <v>114</v>
      </c>
      <c r="B117" s="6">
        <f>'Actual Values'!$B$3*'NOLH Designs (2)'!B118</f>
        <v>6456844.7999999998</v>
      </c>
      <c r="C117" s="6">
        <f>'Actual Values'!$B$5*'NOLH Designs (2)'!B118</f>
        <v>5665161.6000000006</v>
      </c>
      <c r="D117" s="6">
        <f>'Actual Values'!$B$7*'NOLH Designs (2)'!B118</f>
        <v>2972637</v>
      </c>
      <c r="E117" s="6">
        <f>'Actual Values'!$B$9*'NOLH Designs (2)'!B118</f>
        <v>2220339.06</v>
      </c>
      <c r="F117" s="12">
        <f>'Actual Values'!$C$3*'NOLH Designs (2)'!C118</f>
        <v>361728.00000000006</v>
      </c>
      <c r="G117" s="12">
        <f>'Actual Values'!$C$3-'ExpValues Eq'!F117</f>
        <v>844032</v>
      </c>
      <c r="H117" s="12">
        <f>F117+'Actual Values'!$D$3</f>
        <v>584728</v>
      </c>
      <c r="I117" s="12">
        <f>'Actual Values'!$C$5*'NOLH Designs (2)'!D118</f>
        <v>423167.99999999988</v>
      </c>
      <c r="J117" s="12">
        <f>'Actual Values'!$C$5-'ExpValues Eq'!I117</f>
        <v>634752.00000000012</v>
      </c>
      <c r="K117" s="12">
        <f>I117+'Actual Values'!$D$5</f>
        <v>681167.99999999988</v>
      </c>
      <c r="L117" s="12">
        <f>'Actual Values'!$C$7*'NOLH Designs (2)'!E118</f>
        <v>11102.28000000001</v>
      </c>
      <c r="M117" s="12">
        <f>'Actual Values'!$C$7-'ExpValues Eq'!L117</f>
        <v>544011.72</v>
      </c>
      <c r="N117" s="12">
        <f>L117+'Actual Values'!$D$7</f>
        <v>184707.28</v>
      </c>
      <c r="O117" s="12">
        <f>'Actual Values'!$C$9*'NOLH Designs (2)'!F118</f>
        <v>53901.769999999953</v>
      </c>
      <c r="P117" s="12">
        <f>'Actual Values'!$C$9-'ExpValues Eq'!O117</f>
        <v>360727.23000000004</v>
      </c>
      <c r="Q117" s="12">
        <f>O117+'Actual Values'!$D$9</f>
        <v>102876.76999999996</v>
      </c>
      <c r="R117" s="12">
        <f>'Actual Values'!$A$21*'NOLH Designs (2)'!S118</f>
        <v>103.7</v>
      </c>
      <c r="S117" s="12">
        <f>'Actual Values'!$B$21*'NOLH Designs (2)'!S118</f>
        <v>177.65</v>
      </c>
      <c r="T117" s="12">
        <f>'Actual Values'!$C$21*'NOLH Designs (2)'!S118</f>
        <v>104.55</v>
      </c>
      <c r="U117" s="12">
        <f>'Actual Values'!$A$25*'NOLH Designs (2)'!T118</f>
        <v>72</v>
      </c>
      <c r="V117" s="12">
        <f>'Actual Values'!$B$25*'NOLH Designs (2)'!T118</f>
        <v>117.11999999999999</v>
      </c>
      <c r="W117" s="12">
        <f>'Actual Values'!$A$13*'NOLH Designs (2)'!G118</f>
        <v>18.899999999999999</v>
      </c>
      <c r="X117" s="12">
        <f>'Actual Values'!$B$13*'NOLH Designs (2)'!H118</f>
        <v>42</v>
      </c>
      <c r="Y117" s="12">
        <f>'Actual Values'!$A$17*'NOLH Designs (2)'!Q118</f>
        <v>4.92</v>
      </c>
      <c r="Z117" s="12">
        <f>'Actual Values'!$B$17*'NOLH Designs (2)'!R118</f>
        <v>25.41</v>
      </c>
      <c r="AA117" s="12">
        <f>'Actual Values'!$C$17*'NOLH Designs (2)'!Q118</f>
        <v>2.46</v>
      </c>
      <c r="AB117" s="12">
        <f>'Actual Values'!$D$17*'NOLH Designs (2)'!R118</f>
        <v>11.55</v>
      </c>
      <c r="AC117" s="6">
        <v>0.61</v>
      </c>
      <c r="AD117" s="6">
        <v>0.28000000000000003</v>
      </c>
      <c r="AE117" s="6">
        <v>0.33</v>
      </c>
      <c r="AF117" s="6">
        <v>0.61</v>
      </c>
      <c r="AG117" s="6">
        <v>0.27</v>
      </c>
      <c r="AH117" s="6">
        <v>0.33</v>
      </c>
      <c r="AI117" s="6">
        <v>0.16</v>
      </c>
      <c r="AJ117" s="6">
        <v>0.28000000000000003</v>
      </c>
    </row>
    <row r="118" spans="1:36" x14ac:dyDescent="0.2">
      <c r="A118" s="8">
        <v>115</v>
      </c>
      <c r="B118" s="6">
        <f>'Actual Values'!$B$3*'NOLH Designs (2)'!B119</f>
        <v>5317401.5999999996</v>
      </c>
      <c r="C118" s="6">
        <f>'Actual Values'!$B$5*'NOLH Designs (2)'!B119</f>
        <v>4665427.2</v>
      </c>
      <c r="D118" s="6">
        <f>'Actual Values'!$B$7*'NOLH Designs (2)'!B119</f>
        <v>2448054</v>
      </c>
      <c r="E118" s="6">
        <f>'Actual Values'!$B$9*'NOLH Designs (2)'!B119</f>
        <v>1828514.52</v>
      </c>
      <c r="F118" s="12">
        <f>'Actual Values'!$C$3*'NOLH Designs (2)'!C119</f>
        <v>554649.59999999998</v>
      </c>
      <c r="G118" s="12">
        <f>'Actual Values'!$C$3-'ExpValues Eq'!F118</f>
        <v>651110.40000000002</v>
      </c>
      <c r="H118" s="12">
        <f>F118+'Actual Values'!$D$3</f>
        <v>777649.6</v>
      </c>
      <c r="I118" s="12">
        <f>'Actual Values'!$C$5*'NOLH Designs (2)'!D119</f>
        <v>465484.79999999993</v>
      </c>
      <c r="J118" s="12">
        <f>'Actual Values'!$C$5-'ExpValues Eq'!I118</f>
        <v>592435.20000000007</v>
      </c>
      <c r="K118" s="12">
        <f>I118+'Actual Values'!$D$5</f>
        <v>723484.79999999993</v>
      </c>
      <c r="L118" s="12">
        <f>'Actual Values'!$C$7*'NOLH Designs (2)'!E119</f>
        <v>116573.93999999997</v>
      </c>
      <c r="M118" s="12">
        <f>'Actual Values'!$C$7-'ExpValues Eq'!L118</f>
        <v>438540.06000000006</v>
      </c>
      <c r="N118" s="12">
        <f>L118+'Actual Values'!$D$7</f>
        <v>290178.93999999994</v>
      </c>
      <c r="O118" s="12">
        <f>'Actual Values'!$C$9*'NOLH Designs (2)'!F119</f>
        <v>45609.190000000039</v>
      </c>
      <c r="P118" s="12">
        <f>'Actual Values'!$C$9-'ExpValues Eq'!O118</f>
        <v>369019.80999999994</v>
      </c>
      <c r="Q118" s="12">
        <f>O118+'Actual Values'!$D$9</f>
        <v>94584.190000000031</v>
      </c>
      <c r="R118" s="12">
        <f>'Actual Values'!$A$21*'NOLH Designs (2)'!S119</f>
        <v>76.86</v>
      </c>
      <c r="S118" s="12">
        <f>'Actual Values'!$B$21*'NOLH Designs (2)'!S119</f>
        <v>131.66999999999999</v>
      </c>
      <c r="T118" s="12">
        <f>'Actual Values'!$C$21*'NOLH Designs (2)'!S119</f>
        <v>77.489999999999995</v>
      </c>
      <c r="U118" s="12">
        <f>'Actual Values'!$A$25*'NOLH Designs (2)'!T119</f>
        <v>60</v>
      </c>
      <c r="V118" s="12">
        <f>'Actual Values'!$B$25*'NOLH Designs (2)'!T119</f>
        <v>97.600000000000009</v>
      </c>
      <c r="W118" s="12">
        <f>'Actual Values'!$A$13*'NOLH Designs (2)'!G119</f>
        <v>32.400000000000006</v>
      </c>
      <c r="X118" s="12">
        <f>'Actual Values'!$B$13*'NOLH Designs (2)'!H119</f>
        <v>76.8</v>
      </c>
      <c r="Y118" s="12">
        <f>'Actual Values'!$A$17*'NOLH Designs (2)'!Q119</f>
        <v>4.96</v>
      </c>
      <c r="Z118" s="12">
        <f>'Actual Values'!$B$17*'NOLH Designs (2)'!R119</f>
        <v>29.04</v>
      </c>
      <c r="AA118" s="12">
        <f>'Actual Values'!$C$17*'NOLH Designs (2)'!Q119</f>
        <v>2.48</v>
      </c>
      <c r="AB118" s="12">
        <f>'Actual Values'!$D$17*'NOLH Designs (2)'!R119</f>
        <v>13.2</v>
      </c>
      <c r="AC118" s="6">
        <v>0.78</v>
      </c>
      <c r="AD118" s="6">
        <v>0.12</v>
      </c>
      <c r="AE118" s="6">
        <v>0.16</v>
      </c>
      <c r="AF118" s="6">
        <v>0.73</v>
      </c>
      <c r="AG118" s="6">
        <v>0.22</v>
      </c>
      <c r="AH118" s="6">
        <v>0.39</v>
      </c>
      <c r="AI118" s="6">
        <v>0.14000000000000001</v>
      </c>
      <c r="AJ118" s="6">
        <v>0.26</v>
      </c>
    </row>
    <row r="119" spans="1:36" x14ac:dyDescent="0.2">
      <c r="A119" s="8">
        <v>116</v>
      </c>
      <c r="B119" s="6">
        <f>'Actual Values'!$B$3*'NOLH Designs (2)'!B120</f>
        <v>6646752</v>
      </c>
      <c r="C119" s="6">
        <f>'Actual Values'!$B$5*'NOLH Designs (2)'!B120</f>
        <v>5831784</v>
      </c>
      <c r="D119" s="6">
        <f>'Actual Values'!$B$7*'NOLH Designs (2)'!B120</f>
        <v>3060067.5</v>
      </c>
      <c r="E119" s="6">
        <f>'Actual Values'!$B$9*'NOLH Designs (2)'!B120</f>
        <v>2285643.15</v>
      </c>
      <c r="F119" s="12">
        <f>'Actual Values'!$C$3*'NOLH Designs (2)'!C120</f>
        <v>277324.79999999999</v>
      </c>
      <c r="G119" s="12">
        <f>'Actual Values'!$C$3-'ExpValues Eq'!F119</f>
        <v>928435.19999999995</v>
      </c>
      <c r="H119" s="12">
        <f>F119+'Actual Values'!$D$3</f>
        <v>500324.8</v>
      </c>
      <c r="I119" s="12">
        <f>'Actual Values'!$C$5*'NOLH Designs (2)'!D120</f>
        <v>359692.8000000001</v>
      </c>
      <c r="J119" s="12">
        <f>'Actual Values'!$C$5-'ExpValues Eq'!I119</f>
        <v>698227.19999999995</v>
      </c>
      <c r="K119" s="12">
        <f>I119+'Actual Values'!$D$5</f>
        <v>617692.80000000005</v>
      </c>
      <c r="L119" s="12">
        <f>'Actual Values'!$C$7*'NOLH Designs (2)'!E120</f>
        <v>61062.540000000052</v>
      </c>
      <c r="M119" s="12">
        <f>'Actual Values'!$C$7-'ExpValues Eq'!L119</f>
        <v>494051.45999999996</v>
      </c>
      <c r="N119" s="12">
        <f>L119+'Actual Values'!$D$7</f>
        <v>234667.54000000004</v>
      </c>
      <c r="O119" s="12">
        <f>'Actual Values'!$C$9*'NOLH Designs (2)'!F120</f>
        <v>99510.959999999992</v>
      </c>
      <c r="P119" s="12">
        <f>'Actual Values'!$C$9-'ExpValues Eq'!O119</f>
        <v>315118.04000000004</v>
      </c>
      <c r="Q119" s="12">
        <f>O119+'Actual Values'!$D$9</f>
        <v>148485.96</v>
      </c>
      <c r="R119" s="12">
        <f>'Actual Values'!$A$21*'NOLH Designs (2)'!S120</f>
        <v>54.9</v>
      </c>
      <c r="S119" s="12">
        <f>'Actual Values'!$B$21*'NOLH Designs (2)'!S120</f>
        <v>94.05</v>
      </c>
      <c r="T119" s="12">
        <f>'Actual Values'!$C$21*'NOLH Designs (2)'!S120</f>
        <v>55.35</v>
      </c>
      <c r="U119" s="12">
        <f>'Actual Values'!$A$25*'NOLH Designs (2)'!T120</f>
        <v>65.25</v>
      </c>
      <c r="V119" s="12">
        <f>'Actual Values'!$B$25*'NOLH Designs (2)'!T120</f>
        <v>106.14</v>
      </c>
      <c r="W119" s="12">
        <f>'Actual Values'!$A$13*'NOLH Designs (2)'!G120</f>
        <v>37.799999999999997</v>
      </c>
      <c r="X119" s="12">
        <f>'Actual Values'!$B$13*'NOLH Designs (2)'!H120</f>
        <v>41.4</v>
      </c>
      <c r="Y119" s="12">
        <f>'Actual Values'!$A$17*'NOLH Designs (2)'!Q120</f>
        <v>4.72</v>
      </c>
      <c r="Z119" s="12">
        <f>'Actual Values'!$B$17*'NOLH Designs (2)'!R120</f>
        <v>30.69</v>
      </c>
      <c r="AA119" s="12">
        <f>'Actual Values'!$C$17*'NOLH Designs (2)'!Q120</f>
        <v>2.36</v>
      </c>
      <c r="AB119" s="12">
        <f>'Actual Values'!$D$17*'NOLH Designs (2)'!R120</f>
        <v>13.950000000000001</v>
      </c>
      <c r="AC119" s="6">
        <v>0.75</v>
      </c>
      <c r="AD119" s="6">
        <v>0.37</v>
      </c>
      <c r="AE119" s="6">
        <v>0.31</v>
      </c>
      <c r="AF119" s="6">
        <v>0.84</v>
      </c>
      <c r="AG119" s="6">
        <v>0.4</v>
      </c>
      <c r="AH119" s="6">
        <v>0.21</v>
      </c>
      <c r="AI119" s="6">
        <v>0.18</v>
      </c>
      <c r="AJ119" s="6">
        <v>0.22</v>
      </c>
    </row>
    <row r="120" spans="1:36" x14ac:dyDescent="0.2">
      <c r="A120" s="8">
        <v>117</v>
      </c>
      <c r="B120" s="6">
        <f>'Actual Values'!$B$3*'NOLH Designs (2)'!B121</f>
        <v>5000889.6000000006</v>
      </c>
      <c r="C120" s="6">
        <f>'Actual Values'!$B$5*'NOLH Designs (2)'!B121</f>
        <v>4387723.2</v>
      </c>
      <c r="D120" s="6">
        <f>'Actual Values'!$B$7*'NOLH Designs (2)'!B121</f>
        <v>2302336.5</v>
      </c>
      <c r="E120" s="6">
        <f>'Actual Values'!$B$9*'NOLH Designs (2)'!B121</f>
        <v>1719674.37</v>
      </c>
      <c r="F120" s="12">
        <f>'Actual Values'!$C$3*'NOLH Designs (2)'!C121</f>
        <v>108518.4000000001</v>
      </c>
      <c r="G120" s="12">
        <f>'Actual Values'!$C$3-'ExpValues Eq'!F120</f>
        <v>1097241.5999999999</v>
      </c>
      <c r="H120" s="12">
        <f>F120+'Actual Values'!$D$3</f>
        <v>331518.40000000008</v>
      </c>
      <c r="I120" s="12">
        <f>'Actual Values'!$C$5*'NOLH Designs (2)'!D121</f>
        <v>454905.59999999992</v>
      </c>
      <c r="J120" s="12">
        <f>'Actual Values'!$C$5-'ExpValues Eq'!I120</f>
        <v>603014.40000000014</v>
      </c>
      <c r="K120" s="12">
        <f>I120+'Actual Values'!$D$5</f>
        <v>712905.59999999986</v>
      </c>
      <c r="L120" s="12">
        <f>'Actual Values'!$C$7*'NOLH Designs (2)'!E121</f>
        <v>33306.840000000033</v>
      </c>
      <c r="M120" s="12">
        <f>'Actual Values'!$C$7-'ExpValues Eq'!L120</f>
        <v>521807.16</v>
      </c>
      <c r="N120" s="12">
        <f>L120+'Actual Values'!$D$7</f>
        <v>206911.84000000003</v>
      </c>
      <c r="O120" s="12">
        <f>'Actual Values'!$C$9*'NOLH Designs (2)'!F121</f>
        <v>53901.769999999953</v>
      </c>
      <c r="P120" s="12">
        <f>'Actual Values'!$C$9-'ExpValues Eq'!O120</f>
        <v>360727.23000000004</v>
      </c>
      <c r="Q120" s="12">
        <f>O120+'Actual Values'!$D$9</f>
        <v>102876.76999999996</v>
      </c>
      <c r="R120" s="12">
        <f>'Actual Values'!$A$21*'NOLH Designs (2)'!S121</f>
        <v>52.46</v>
      </c>
      <c r="S120" s="12">
        <f>'Actual Values'!$B$21*'NOLH Designs (2)'!S121</f>
        <v>89.87</v>
      </c>
      <c r="T120" s="12">
        <f>'Actual Values'!$C$21*'NOLH Designs (2)'!S121</f>
        <v>52.89</v>
      </c>
      <c r="U120" s="12">
        <f>'Actual Values'!$A$25*'NOLH Designs (2)'!T121</f>
        <v>57.75</v>
      </c>
      <c r="V120" s="12">
        <f>'Actual Values'!$B$25*'NOLH Designs (2)'!T121</f>
        <v>93.94</v>
      </c>
      <c r="W120" s="12">
        <f>'Actual Values'!$A$13*'NOLH Designs (2)'!G121</f>
        <v>28.799999999999997</v>
      </c>
      <c r="X120" s="12">
        <f>'Actual Values'!$B$13*'NOLH Designs (2)'!H121</f>
        <v>67.2</v>
      </c>
      <c r="Y120" s="12">
        <f>'Actual Values'!$A$17*'NOLH Designs (2)'!Q121</f>
        <v>4.68</v>
      </c>
      <c r="Z120" s="12">
        <f>'Actual Values'!$B$17*'NOLH Designs (2)'!R121</f>
        <v>27.06</v>
      </c>
      <c r="AA120" s="12">
        <f>'Actual Values'!$C$17*'NOLH Designs (2)'!Q121</f>
        <v>2.34</v>
      </c>
      <c r="AB120" s="12">
        <f>'Actual Values'!$D$17*'NOLH Designs (2)'!R121</f>
        <v>12.299999999999999</v>
      </c>
      <c r="AC120" s="6">
        <v>0.79</v>
      </c>
      <c r="AD120" s="6">
        <v>0.17</v>
      </c>
      <c r="AE120" s="6">
        <v>0.24</v>
      </c>
      <c r="AF120" s="6">
        <v>0.88</v>
      </c>
      <c r="AG120" s="6">
        <v>0.31</v>
      </c>
      <c r="AH120" s="6">
        <v>0.11</v>
      </c>
      <c r="AI120" s="6">
        <v>0.13</v>
      </c>
      <c r="AJ120" s="6">
        <v>0.21</v>
      </c>
    </row>
    <row r="121" spans="1:36" x14ac:dyDescent="0.2">
      <c r="A121" s="8">
        <v>118</v>
      </c>
      <c r="B121" s="6">
        <f>'Actual Values'!$B$3*'NOLH Designs (2)'!B122</f>
        <v>6899961.6000000006</v>
      </c>
      <c r="C121" s="6">
        <f>'Actual Values'!$B$5*'NOLH Designs (2)'!B122</f>
        <v>6053947.2000000002</v>
      </c>
      <c r="D121" s="6">
        <f>'Actual Values'!$B$7*'NOLH Designs (2)'!B122</f>
        <v>3176641.5000000005</v>
      </c>
      <c r="E121" s="6">
        <f>'Actual Values'!$B$9*'NOLH Designs (2)'!B122</f>
        <v>2372715.27</v>
      </c>
      <c r="F121" s="12">
        <f>'Actual Values'!$C$3*'NOLH Designs (2)'!C122</f>
        <v>482303.99999999988</v>
      </c>
      <c r="G121" s="12">
        <f>'Actual Values'!$C$3-'ExpValues Eq'!F121</f>
        <v>723456.00000000012</v>
      </c>
      <c r="H121" s="12">
        <f>F121+'Actual Values'!$D$3</f>
        <v>705303.99999999988</v>
      </c>
      <c r="I121" s="12">
        <f>'Actual Values'!$C$5*'NOLH Designs (2)'!D122</f>
        <v>211583.99999999994</v>
      </c>
      <c r="J121" s="12">
        <f>'Actual Values'!$C$5-'ExpValues Eq'!I121</f>
        <v>846336</v>
      </c>
      <c r="K121" s="12">
        <f>I121+'Actual Values'!$D$5</f>
        <v>469583.99999999994</v>
      </c>
      <c r="L121" s="12">
        <f>'Actual Values'!$C$7*'NOLH Designs (2)'!E122</f>
        <v>138778.5</v>
      </c>
      <c r="M121" s="12">
        <f>'Actual Values'!$C$7-'ExpValues Eq'!L121</f>
        <v>416335.5</v>
      </c>
      <c r="N121" s="12">
        <f>L121+'Actual Values'!$D$7</f>
        <v>312383.5</v>
      </c>
      <c r="O121" s="12">
        <f>'Actual Values'!$C$9*'NOLH Designs (2)'!F122</f>
        <v>8292.5800000000072</v>
      </c>
      <c r="P121" s="12">
        <f>'Actual Values'!$C$9-'ExpValues Eq'!O121</f>
        <v>406336.42</v>
      </c>
      <c r="Q121" s="12">
        <f>O121+'Actual Values'!$D$9</f>
        <v>57267.580000000009</v>
      </c>
      <c r="R121" s="12">
        <f>'Actual Values'!$A$21*'NOLH Designs (2)'!S122</f>
        <v>120.78</v>
      </c>
      <c r="S121" s="12">
        <f>'Actual Values'!$B$21*'NOLH Designs (2)'!S122</f>
        <v>206.91</v>
      </c>
      <c r="T121" s="12">
        <f>'Actual Values'!$C$21*'NOLH Designs (2)'!S122</f>
        <v>121.77</v>
      </c>
      <c r="U121" s="12">
        <f>'Actual Values'!$A$25*'NOLH Designs (2)'!T122</f>
        <v>55.5</v>
      </c>
      <c r="V121" s="12">
        <f>'Actual Values'!$B$25*'NOLH Designs (2)'!T122</f>
        <v>90.28</v>
      </c>
      <c r="W121" s="12">
        <f>'Actual Values'!$A$13*'NOLH Designs (2)'!G122</f>
        <v>22.2</v>
      </c>
      <c r="X121" s="12">
        <f>'Actual Values'!$B$13*'NOLH Designs (2)'!H122</f>
        <v>80.400000000000006</v>
      </c>
      <c r="Y121" s="12">
        <f>'Actual Values'!$A$17*'NOLH Designs (2)'!Q122</f>
        <v>3.44</v>
      </c>
      <c r="Z121" s="12">
        <f>'Actual Values'!$B$17*'NOLH Designs (2)'!R122</f>
        <v>31.68</v>
      </c>
      <c r="AA121" s="12">
        <f>'Actual Values'!$C$17*'NOLH Designs (2)'!Q122</f>
        <v>1.72</v>
      </c>
      <c r="AB121" s="12">
        <f>'Actual Values'!$D$17*'NOLH Designs (2)'!R122</f>
        <v>14.399999999999999</v>
      </c>
      <c r="AC121" s="6">
        <v>0.69</v>
      </c>
      <c r="AD121" s="6">
        <v>0.28999999999999998</v>
      </c>
      <c r="AE121" s="6">
        <v>0.37</v>
      </c>
      <c r="AF121" s="6">
        <v>0.8</v>
      </c>
      <c r="AG121" s="6">
        <v>0.21</v>
      </c>
      <c r="AH121" s="6">
        <v>0.35</v>
      </c>
      <c r="AI121" s="6">
        <v>0.19</v>
      </c>
      <c r="AJ121" s="6">
        <v>0.13</v>
      </c>
    </row>
    <row r="122" spans="1:36" x14ac:dyDescent="0.2">
      <c r="A122" s="8">
        <v>119</v>
      </c>
      <c r="B122" s="6">
        <f>'Actual Values'!$B$3*'NOLH Designs (2)'!B123</f>
        <v>5190796.8</v>
      </c>
      <c r="C122" s="6">
        <f>'Actual Values'!$B$5*'NOLH Designs (2)'!B123</f>
        <v>4554345.5999999996</v>
      </c>
      <c r="D122" s="6">
        <f>'Actual Values'!$B$7*'NOLH Designs (2)'!B123</f>
        <v>2389767</v>
      </c>
      <c r="E122" s="6">
        <f>'Actual Values'!$B$9*'NOLH Designs (2)'!B123</f>
        <v>1784978.46</v>
      </c>
      <c r="F122" s="12">
        <f>'Actual Values'!$C$3*'NOLH Designs (2)'!C123</f>
        <v>530534.39999999991</v>
      </c>
      <c r="G122" s="12">
        <f>'Actual Values'!$C$3-'ExpValues Eq'!F122</f>
        <v>675225.60000000009</v>
      </c>
      <c r="H122" s="12">
        <f>F122+'Actual Values'!$D$3</f>
        <v>753534.39999999991</v>
      </c>
      <c r="I122" s="12">
        <f>'Actual Values'!$C$5*'NOLH Designs (2)'!D123</f>
        <v>42316.800000000039</v>
      </c>
      <c r="J122" s="12">
        <f>'Actual Values'!$C$5-'ExpValues Eq'!I122</f>
        <v>1015603.2</v>
      </c>
      <c r="K122" s="12">
        <f>I122+'Actual Values'!$D$5</f>
        <v>300316.80000000005</v>
      </c>
      <c r="L122" s="12">
        <f>'Actual Values'!$C$7*'NOLH Designs (2)'!E123</f>
        <v>105471.65999999997</v>
      </c>
      <c r="M122" s="12">
        <f>'Actual Values'!$C$7-'ExpValues Eq'!L122</f>
        <v>449642.34</v>
      </c>
      <c r="N122" s="12">
        <f>L122+'Actual Values'!$D$7</f>
        <v>279076.65999999997</v>
      </c>
      <c r="O122" s="12">
        <f>'Actual Values'!$C$9*'NOLH Designs (2)'!F123</f>
        <v>16585.160000000014</v>
      </c>
      <c r="P122" s="12">
        <f>'Actual Values'!$C$9-'ExpValues Eq'!O122</f>
        <v>398043.83999999997</v>
      </c>
      <c r="Q122" s="12">
        <f>O122+'Actual Values'!$D$9</f>
        <v>65560.160000000018</v>
      </c>
      <c r="R122" s="12">
        <f>'Actual Values'!$A$21*'NOLH Designs (2)'!S123</f>
        <v>122</v>
      </c>
      <c r="S122" s="12">
        <f>'Actual Values'!$B$21*'NOLH Designs (2)'!S123</f>
        <v>209</v>
      </c>
      <c r="T122" s="12">
        <f>'Actual Values'!$C$21*'NOLH Designs (2)'!S123</f>
        <v>123</v>
      </c>
      <c r="U122" s="12">
        <f>'Actual Values'!$A$25*'NOLH Designs (2)'!T123</f>
        <v>69.75</v>
      </c>
      <c r="V122" s="12">
        <f>'Actual Values'!$B$25*'NOLH Designs (2)'!T123</f>
        <v>113.46000000000001</v>
      </c>
      <c r="W122" s="12">
        <f>'Actual Values'!$A$13*'NOLH Designs (2)'!G123</f>
        <v>39.900000000000006</v>
      </c>
      <c r="X122" s="12">
        <f>'Actual Values'!$B$13*'NOLH Designs (2)'!H123</f>
        <v>58.199999999999996</v>
      </c>
      <c r="Y122" s="12">
        <f>'Actual Values'!$A$17*'NOLH Designs (2)'!Q123</f>
        <v>4</v>
      </c>
      <c r="Z122" s="12">
        <f>'Actual Values'!$B$17*'NOLH Designs (2)'!R123</f>
        <v>30.360000000000003</v>
      </c>
      <c r="AA122" s="12">
        <f>'Actual Values'!$C$17*'NOLH Designs (2)'!Q123</f>
        <v>2</v>
      </c>
      <c r="AB122" s="12">
        <f>'Actual Values'!$D$17*'NOLH Designs (2)'!R123</f>
        <v>13.8</v>
      </c>
      <c r="AC122" s="6">
        <v>0.83</v>
      </c>
      <c r="AD122" s="6">
        <v>0.25</v>
      </c>
      <c r="AE122" s="6">
        <v>0.11</v>
      </c>
      <c r="AF122" s="6">
        <v>0.77</v>
      </c>
      <c r="AG122" s="6">
        <v>0.12</v>
      </c>
      <c r="AH122" s="6">
        <v>0.31</v>
      </c>
      <c r="AI122" s="6">
        <v>0.24</v>
      </c>
      <c r="AJ122" s="6">
        <v>0.15</v>
      </c>
    </row>
    <row r="123" spans="1:36" x14ac:dyDescent="0.2">
      <c r="A123" s="8">
        <v>120</v>
      </c>
      <c r="B123" s="6">
        <f>'Actual Values'!$B$3*'NOLH Designs (2)'!B124</f>
        <v>7279775.9999999991</v>
      </c>
      <c r="C123" s="6">
        <f>'Actual Values'!$B$5*'NOLH Designs (2)'!B124</f>
        <v>6387191.9999999991</v>
      </c>
      <c r="D123" s="6">
        <f>'Actual Values'!$B$7*'NOLH Designs (2)'!B124</f>
        <v>3351502.4999999995</v>
      </c>
      <c r="E123" s="6">
        <f>'Actual Values'!$B$9*'NOLH Designs (2)'!B124</f>
        <v>2503323.4499999997</v>
      </c>
      <c r="F123" s="12">
        <f>'Actual Values'!$C$3*'NOLH Designs (2)'!C124</f>
        <v>192921.59999999989</v>
      </c>
      <c r="G123" s="12">
        <f>'Actual Values'!$C$3-'ExpValues Eq'!F123</f>
        <v>1012838.4000000001</v>
      </c>
      <c r="H123" s="12">
        <f>F123+'Actual Values'!$D$3</f>
        <v>415921.59999999986</v>
      </c>
      <c r="I123" s="12">
        <f>'Actual Values'!$C$5*'NOLH Designs (2)'!D124</f>
        <v>243321.59999999998</v>
      </c>
      <c r="J123" s="12">
        <f>'Actual Values'!$C$5-'ExpValues Eq'!I123</f>
        <v>814598.4</v>
      </c>
      <c r="K123" s="12">
        <f>I123+'Actual Values'!$D$5</f>
        <v>501321.6</v>
      </c>
      <c r="L123" s="12">
        <f>'Actual Values'!$C$7*'NOLH Designs (2)'!E124</f>
        <v>88818.239999999962</v>
      </c>
      <c r="M123" s="12">
        <f>'Actual Values'!$C$7-'ExpValues Eq'!L123</f>
        <v>466295.76</v>
      </c>
      <c r="N123" s="12">
        <f>L123+'Actual Values'!$D$7</f>
        <v>262423.24</v>
      </c>
      <c r="O123" s="12">
        <f>'Actual Values'!$C$9*'NOLH Designs (2)'!F124</f>
        <v>4146.2900000000036</v>
      </c>
      <c r="P123" s="12">
        <f>'Actual Values'!$C$9-'ExpValues Eq'!O123</f>
        <v>410482.71</v>
      </c>
      <c r="Q123" s="12">
        <f>O123+'Actual Values'!$D$9</f>
        <v>53121.29</v>
      </c>
      <c r="R123" s="12">
        <f>'Actual Values'!$A$21*'NOLH Designs (2)'!S124</f>
        <v>45.14</v>
      </c>
      <c r="S123" s="12">
        <f>'Actual Values'!$B$21*'NOLH Designs (2)'!S124</f>
        <v>77.33</v>
      </c>
      <c r="T123" s="12">
        <f>'Actual Values'!$C$21*'NOLH Designs (2)'!S124</f>
        <v>45.51</v>
      </c>
      <c r="U123" s="12">
        <f>'Actual Values'!$A$25*'NOLH Designs (2)'!T124</f>
        <v>52.5</v>
      </c>
      <c r="V123" s="12">
        <f>'Actual Values'!$B$25*'NOLH Designs (2)'!T124</f>
        <v>85.399999999999991</v>
      </c>
      <c r="W123" s="12">
        <f>'Actual Values'!$A$13*'NOLH Designs (2)'!G124</f>
        <v>40.5</v>
      </c>
      <c r="X123" s="12">
        <f>'Actual Values'!$B$13*'NOLH Designs (2)'!H124</f>
        <v>73.8</v>
      </c>
      <c r="Y123" s="12">
        <f>'Actual Values'!$A$17*'NOLH Designs (2)'!Q124</f>
        <v>3.36</v>
      </c>
      <c r="Z123" s="12">
        <f>'Actual Values'!$B$17*'NOLH Designs (2)'!R124</f>
        <v>27.72</v>
      </c>
      <c r="AA123" s="12">
        <f>'Actual Values'!$C$17*'NOLH Designs (2)'!Q124</f>
        <v>1.68</v>
      </c>
      <c r="AB123" s="12">
        <f>'Actual Values'!$D$17*'NOLH Designs (2)'!R124</f>
        <v>12.6</v>
      </c>
      <c r="AC123" s="6">
        <v>0.69</v>
      </c>
      <c r="AD123" s="6">
        <v>0.34</v>
      </c>
      <c r="AE123" s="6">
        <v>0.38</v>
      </c>
      <c r="AF123" s="6">
        <v>0.6</v>
      </c>
      <c r="AG123" s="6">
        <v>0.28999999999999998</v>
      </c>
      <c r="AH123" s="6">
        <v>0.21</v>
      </c>
      <c r="AI123" s="6">
        <v>0.26</v>
      </c>
      <c r="AJ123" s="6">
        <v>0.18</v>
      </c>
    </row>
    <row r="124" spans="1:36" x14ac:dyDescent="0.2">
      <c r="A124" s="8">
        <v>121</v>
      </c>
      <c r="B124" s="6">
        <f>'Actual Values'!$B$3*'NOLH Designs (2)'!B125</f>
        <v>5127494.4000000004</v>
      </c>
      <c r="C124" s="6">
        <f>'Actual Values'!$B$5*'NOLH Designs (2)'!B125</f>
        <v>4498804.8000000007</v>
      </c>
      <c r="D124" s="6">
        <f>'Actual Values'!$B$7*'NOLH Designs (2)'!B125</f>
        <v>2360623.5</v>
      </c>
      <c r="E124" s="6">
        <f>'Actual Values'!$B$9*'NOLH Designs (2)'!B125</f>
        <v>1763210.4300000002</v>
      </c>
      <c r="F124" s="12">
        <f>'Actual Values'!$C$3*'NOLH Designs (2)'!C125</f>
        <v>84403.20000000007</v>
      </c>
      <c r="G124" s="12">
        <f>'Actual Values'!$C$3-'ExpValues Eq'!F124</f>
        <v>1121356.7999999998</v>
      </c>
      <c r="H124" s="12">
        <f>F124+'Actual Values'!$D$3</f>
        <v>307403.20000000007</v>
      </c>
      <c r="I124" s="12">
        <f>'Actual Values'!$C$5*'NOLH Designs (2)'!D125</f>
        <v>95212.80000000009</v>
      </c>
      <c r="J124" s="12">
        <f>'Actual Values'!$C$5-'ExpValues Eq'!I124</f>
        <v>962707.2</v>
      </c>
      <c r="K124" s="12">
        <f>I124+'Actual Values'!$D$5</f>
        <v>353212.8000000001</v>
      </c>
      <c r="L124" s="12">
        <f>'Actual Values'!$C$7*'NOLH Designs (2)'!E125</f>
        <v>49960.260000000046</v>
      </c>
      <c r="M124" s="12">
        <f>'Actual Values'!$C$7-'ExpValues Eq'!L124</f>
        <v>505153.73999999993</v>
      </c>
      <c r="N124" s="12">
        <f>L124+'Actual Values'!$D$7</f>
        <v>223565.26000000004</v>
      </c>
      <c r="O124" s="12">
        <f>'Actual Values'!$C$9*'NOLH Designs (2)'!F125</f>
        <v>4146.2900000000036</v>
      </c>
      <c r="P124" s="12">
        <f>'Actual Values'!$C$9-'ExpValues Eq'!O124</f>
        <v>410482.71</v>
      </c>
      <c r="Q124" s="12">
        <f>O124+'Actual Values'!$D$9</f>
        <v>53121.29</v>
      </c>
      <c r="R124" s="12">
        <f>'Actual Values'!$A$21*'NOLH Designs (2)'!S125</f>
        <v>35.379999999999995</v>
      </c>
      <c r="S124" s="12">
        <f>'Actual Values'!$B$21*'NOLH Designs (2)'!S125</f>
        <v>60.609999999999992</v>
      </c>
      <c r="T124" s="12">
        <f>'Actual Values'!$C$21*'NOLH Designs (2)'!S125</f>
        <v>35.669999999999995</v>
      </c>
      <c r="U124" s="12">
        <f>'Actual Values'!$A$25*'NOLH Designs (2)'!T125</f>
        <v>52.5</v>
      </c>
      <c r="V124" s="12">
        <f>'Actual Values'!$B$25*'NOLH Designs (2)'!T125</f>
        <v>85.399999999999991</v>
      </c>
      <c r="W124" s="12">
        <f>'Actual Values'!$A$13*'NOLH Designs (2)'!G125</f>
        <v>27.3</v>
      </c>
      <c r="X124" s="12">
        <f>'Actual Values'!$B$13*'NOLH Designs (2)'!H125</f>
        <v>56.4</v>
      </c>
      <c r="Y124" s="12">
        <f>'Actual Values'!$A$17*'NOLH Designs (2)'!Q125</f>
        <v>3.24</v>
      </c>
      <c r="Z124" s="12">
        <f>'Actual Values'!$B$17*'NOLH Designs (2)'!R125</f>
        <v>29.37</v>
      </c>
      <c r="AA124" s="12">
        <f>'Actual Values'!$C$17*'NOLH Designs (2)'!Q125</f>
        <v>1.62</v>
      </c>
      <c r="AB124" s="12">
        <f>'Actual Values'!$D$17*'NOLH Designs (2)'!R125</f>
        <v>13.35</v>
      </c>
      <c r="AC124" s="6">
        <v>0.84</v>
      </c>
      <c r="AD124" s="6">
        <v>0.2</v>
      </c>
      <c r="AE124" s="6">
        <v>0.1</v>
      </c>
      <c r="AF124" s="6">
        <v>0.74</v>
      </c>
      <c r="AG124" s="6">
        <v>0.37</v>
      </c>
      <c r="AH124" s="6">
        <v>0.26</v>
      </c>
      <c r="AI124" s="6">
        <v>0.23</v>
      </c>
      <c r="AJ124" s="6">
        <v>0.14000000000000001</v>
      </c>
    </row>
    <row r="125" spans="1:36" x14ac:dyDescent="0.2">
      <c r="A125" s="8">
        <v>122</v>
      </c>
      <c r="B125" s="6">
        <f>'Actual Values'!$B$3*'NOLH Designs (2)'!B126</f>
        <v>7406380.7999999998</v>
      </c>
      <c r="C125" s="6">
        <f>'Actual Values'!$B$5*'NOLH Designs (2)'!B126</f>
        <v>6498273.5999999996</v>
      </c>
      <c r="D125" s="6">
        <f>'Actual Values'!$B$7*'NOLH Designs (2)'!B126</f>
        <v>3409789.5</v>
      </c>
      <c r="E125" s="6">
        <f>'Actual Values'!$B$9*'NOLH Designs (2)'!B126</f>
        <v>2546859.5099999998</v>
      </c>
      <c r="F125" s="12">
        <f>'Actual Values'!$C$3*'NOLH Designs (2)'!C126</f>
        <v>542592</v>
      </c>
      <c r="G125" s="12">
        <f>'Actual Values'!$C$3-'ExpValues Eq'!F125</f>
        <v>663168</v>
      </c>
      <c r="H125" s="12">
        <f>F125+'Actual Values'!$D$3</f>
        <v>765592</v>
      </c>
      <c r="I125" s="12">
        <f>'Actual Values'!$C$5*'NOLH Designs (2)'!D126</f>
        <v>349113.60000000009</v>
      </c>
      <c r="J125" s="12">
        <f>'Actual Values'!$C$5-'ExpValues Eq'!I125</f>
        <v>708806.39999999991</v>
      </c>
      <c r="K125" s="12">
        <f>I125+'Actual Values'!$D$5</f>
        <v>607113.60000000009</v>
      </c>
      <c r="L125" s="12">
        <f>'Actual Values'!$C$7*'NOLH Designs (2)'!E126</f>
        <v>88818.239999999962</v>
      </c>
      <c r="M125" s="12">
        <f>'Actual Values'!$C$7-'ExpValues Eq'!L125</f>
        <v>466295.76</v>
      </c>
      <c r="N125" s="12">
        <f>L125+'Actual Values'!$D$7</f>
        <v>262423.24</v>
      </c>
      <c r="O125" s="12">
        <f>'Actual Values'!$C$9*'NOLH Designs (2)'!F126</f>
        <v>82925.799999999988</v>
      </c>
      <c r="P125" s="12">
        <f>'Actual Values'!$C$9-'ExpValues Eq'!O125</f>
        <v>331703.2</v>
      </c>
      <c r="Q125" s="12">
        <f>O125+'Actual Values'!$D$9</f>
        <v>131900.79999999999</v>
      </c>
      <c r="R125" s="12">
        <f>'Actual Values'!$A$21*'NOLH Designs (2)'!S126</f>
        <v>90.28</v>
      </c>
      <c r="S125" s="12">
        <f>'Actual Values'!$B$21*'NOLH Designs (2)'!S126</f>
        <v>154.66</v>
      </c>
      <c r="T125" s="12">
        <f>'Actual Values'!$C$21*'NOLH Designs (2)'!S126</f>
        <v>91.02</v>
      </c>
      <c r="U125" s="12">
        <f>'Actual Values'!$A$25*'NOLH Designs (2)'!T126</f>
        <v>20.25</v>
      </c>
      <c r="V125" s="12">
        <f>'Actual Values'!$B$25*'NOLH Designs (2)'!T126</f>
        <v>32.940000000000005</v>
      </c>
      <c r="W125" s="12">
        <f>'Actual Values'!$A$13*'NOLH Designs (2)'!G126</f>
        <v>26.4</v>
      </c>
      <c r="X125" s="12">
        <f>'Actual Values'!$B$13*'NOLH Designs (2)'!H126</f>
        <v>43.8</v>
      </c>
      <c r="Y125" s="12">
        <f>'Actual Values'!$A$17*'NOLH Designs (2)'!Q126</f>
        <v>4.72</v>
      </c>
      <c r="Z125" s="12">
        <f>'Actual Values'!$B$17*'NOLH Designs (2)'!R126</f>
        <v>25.41</v>
      </c>
      <c r="AA125" s="12">
        <f>'Actual Values'!$C$17*'NOLH Designs (2)'!Q126</f>
        <v>2.36</v>
      </c>
      <c r="AB125" s="12">
        <f>'Actual Values'!$D$17*'NOLH Designs (2)'!R126</f>
        <v>11.55</v>
      </c>
      <c r="AC125" s="6">
        <v>0.86</v>
      </c>
      <c r="AD125" s="6">
        <v>0.36</v>
      </c>
      <c r="AE125" s="6">
        <v>0.28999999999999998</v>
      </c>
      <c r="AF125" s="6">
        <v>0.73</v>
      </c>
      <c r="AG125" s="6">
        <v>0.38</v>
      </c>
      <c r="AH125" s="6">
        <v>0.34</v>
      </c>
      <c r="AI125" s="6">
        <v>0.25</v>
      </c>
      <c r="AJ125" s="6">
        <v>0.28000000000000003</v>
      </c>
    </row>
    <row r="126" spans="1:36" x14ac:dyDescent="0.2">
      <c r="A126" s="8">
        <v>123</v>
      </c>
      <c r="B126" s="6">
        <f>'Actual Values'!$B$3*'NOLH Designs (2)'!B127</f>
        <v>5823820.7999999998</v>
      </c>
      <c r="C126" s="6">
        <f>'Actual Values'!$B$5*'NOLH Designs (2)'!B127</f>
        <v>5109753.6000000006</v>
      </c>
      <c r="D126" s="6">
        <f>'Actual Values'!$B$7*'NOLH Designs (2)'!B127</f>
        <v>2681202</v>
      </c>
      <c r="E126" s="6">
        <f>'Actual Values'!$B$9*'NOLH Designs (2)'!B127</f>
        <v>2002658.76</v>
      </c>
      <c r="F126" s="12">
        <f>'Actual Values'!$C$3*'NOLH Designs (2)'!C127</f>
        <v>361728.00000000006</v>
      </c>
      <c r="G126" s="12">
        <f>'Actual Values'!$C$3-'ExpValues Eq'!F126</f>
        <v>844032</v>
      </c>
      <c r="H126" s="12">
        <f>F126+'Actual Values'!$D$3</f>
        <v>584728</v>
      </c>
      <c r="I126" s="12">
        <f>'Actual Values'!$C$5*'NOLH Designs (2)'!D127</f>
        <v>476063.99999999994</v>
      </c>
      <c r="J126" s="12">
        <f>'Actual Values'!$C$5-'ExpValues Eq'!I126</f>
        <v>581856</v>
      </c>
      <c r="K126" s="12">
        <f>I126+'Actual Values'!$D$5</f>
        <v>734064</v>
      </c>
      <c r="L126" s="12">
        <f>'Actual Values'!$C$7*'NOLH Designs (2)'!E127</f>
        <v>38857.980000000032</v>
      </c>
      <c r="M126" s="12">
        <f>'Actual Values'!$C$7-'ExpValues Eq'!L126</f>
        <v>516256.01999999996</v>
      </c>
      <c r="N126" s="12">
        <f>L126+'Actual Values'!$D$7</f>
        <v>212462.98000000004</v>
      </c>
      <c r="O126" s="12">
        <f>'Actual Values'!$C$9*'NOLH Designs (2)'!F127</f>
        <v>87072.089999999982</v>
      </c>
      <c r="P126" s="12">
        <f>'Actual Values'!$C$9-'ExpValues Eq'!O126</f>
        <v>327556.91000000003</v>
      </c>
      <c r="Q126" s="12">
        <f>O126+'Actual Values'!$D$9</f>
        <v>136047.08999999997</v>
      </c>
      <c r="R126" s="12">
        <f>'Actual Values'!$A$21*'NOLH Designs (2)'!S127</f>
        <v>120.78</v>
      </c>
      <c r="S126" s="12">
        <f>'Actual Values'!$B$21*'NOLH Designs (2)'!S127</f>
        <v>206.91</v>
      </c>
      <c r="T126" s="12">
        <f>'Actual Values'!$C$21*'NOLH Designs (2)'!S127</f>
        <v>121.77</v>
      </c>
      <c r="U126" s="12">
        <f>'Actual Values'!$A$25*'NOLH Designs (2)'!T127</f>
        <v>23.25</v>
      </c>
      <c r="V126" s="12">
        <f>'Actual Values'!$B$25*'NOLH Designs (2)'!T127</f>
        <v>37.82</v>
      </c>
      <c r="W126" s="12">
        <f>'Actual Values'!$A$13*'NOLH Designs (2)'!G127</f>
        <v>37.5</v>
      </c>
      <c r="X126" s="12">
        <f>'Actual Values'!$B$13*'NOLH Designs (2)'!H127</f>
        <v>71.399999999999991</v>
      </c>
      <c r="Y126" s="12">
        <f>'Actual Values'!$A$17*'NOLH Designs (2)'!Q127</f>
        <v>4.4800000000000004</v>
      </c>
      <c r="Z126" s="12">
        <f>'Actual Values'!$B$17*'NOLH Designs (2)'!R127</f>
        <v>28.05</v>
      </c>
      <c r="AA126" s="12">
        <f>'Actual Values'!$C$17*'NOLH Designs (2)'!Q127</f>
        <v>2.2400000000000002</v>
      </c>
      <c r="AB126" s="12">
        <f>'Actual Values'!$D$17*'NOLH Designs (2)'!R127</f>
        <v>12.75</v>
      </c>
      <c r="AC126" s="6">
        <v>0.66</v>
      </c>
      <c r="AD126" s="6">
        <v>0.21</v>
      </c>
      <c r="AE126" s="6">
        <v>0.23</v>
      </c>
      <c r="AF126" s="6">
        <v>0.73</v>
      </c>
      <c r="AG126" s="6">
        <v>0.31</v>
      </c>
      <c r="AH126" s="6">
        <v>0.38</v>
      </c>
      <c r="AI126" s="6">
        <v>0.23</v>
      </c>
      <c r="AJ126" s="6">
        <v>0.28000000000000003</v>
      </c>
    </row>
    <row r="127" spans="1:36" x14ac:dyDescent="0.2">
      <c r="A127" s="8">
        <v>124</v>
      </c>
      <c r="B127" s="6">
        <f>'Actual Values'!$B$3*'NOLH Designs (2)'!B128</f>
        <v>7596288</v>
      </c>
      <c r="C127" s="6">
        <f>'Actual Values'!$B$5*'NOLH Designs (2)'!B128</f>
        <v>6664896</v>
      </c>
      <c r="D127" s="6">
        <f>'Actual Values'!$B$7*'NOLH Designs (2)'!B128</f>
        <v>3497220</v>
      </c>
      <c r="E127" s="6">
        <f>'Actual Values'!$B$9*'NOLH Designs (2)'!B128</f>
        <v>2612163.6</v>
      </c>
      <c r="F127" s="12">
        <f>'Actual Values'!$C$3*'NOLH Designs (2)'!C128</f>
        <v>96460.80000000009</v>
      </c>
      <c r="G127" s="12">
        <f>'Actual Values'!$C$3-'ExpValues Eq'!F127</f>
        <v>1109299.2</v>
      </c>
      <c r="H127" s="12">
        <f>F127+'Actual Values'!$D$3</f>
        <v>319460.8000000001</v>
      </c>
      <c r="I127" s="12">
        <f>'Actual Values'!$C$5*'NOLH Designs (2)'!D128</f>
        <v>306796.80000000005</v>
      </c>
      <c r="J127" s="12">
        <f>'Actual Values'!$C$5-'ExpValues Eq'!I127</f>
        <v>751123.2</v>
      </c>
      <c r="K127" s="12">
        <f>I127+'Actual Values'!$D$5</f>
        <v>564796.80000000005</v>
      </c>
      <c r="L127" s="12">
        <f>'Actual Values'!$C$7*'NOLH Designs (2)'!E128</f>
        <v>16653.420000000016</v>
      </c>
      <c r="M127" s="12">
        <f>'Actual Values'!$C$7-'ExpValues Eq'!L127</f>
        <v>538460.57999999996</v>
      </c>
      <c r="N127" s="12">
        <f>L127+'Actual Values'!$D$7</f>
        <v>190258.42</v>
      </c>
      <c r="O127" s="12">
        <f>'Actual Values'!$C$9*'NOLH Designs (2)'!F128</f>
        <v>0</v>
      </c>
      <c r="P127" s="12">
        <f>'Actual Values'!$C$9-'ExpValues Eq'!O127</f>
        <v>414629</v>
      </c>
      <c r="Q127" s="12">
        <f>O127+'Actual Values'!$D$9</f>
        <v>48975</v>
      </c>
      <c r="R127" s="12">
        <f>'Actual Values'!$A$21*'NOLH Designs (2)'!S128</f>
        <v>69.539999999999992</v>
      </c>
      <c r="S127" s="12">
        <f>'Actual Values'!$B$21*'NOLH Designs (2)'!S128</f>
        <v>119.13</v>
      </c>
      <c r="T127" s="12">
        <f>'Actual Values'!$C$21*'NOLH Designs (2)'!S128</f>
        <v>70.11</v>
      </c>
      <c r="U127" s="12">
        <f>'Actual Values'!$A$25*'NOLH Designs (2)'!T128</f>
        <v>34.5</v>
      </c>
      <c r="V127" s="12">
        <f>'Actual Values'!$B$25*'NOLH Designs (2)'!T128</f>
        <v>56.120000000000005</v>
      </c>
      <c r="W127" s="12">
        <f>'Actual Values'!$A$13*'NOLH Designs (2)'!G128</f>
        <v>33.300000000000004</v>
      </c>
      <c r="X127" s="12">
        <f>'Actual Values'!$B$13*'NOLH Designs (2)'!H128</f>
        <v>57.599999999999994</v>
      </c>
      <c r="Y127" s="12">
        <f>'Actual Values'!$A$17*'NOLH Designs (2)'!Q128</f>
        <v>4.4400000000000004</v>
      </c>
      <c r="Z127" s="12">
        <f>'Actual Values'!$B$17*'NOLH Designs (2)'!R128</f>
        <v>24.75</v>
      </c>
      <c r="AA127" s="12">
        <f>'Actual Values'!$C$17*'NOLH Designs (2)'!Q128</f>
        <v>2.2200000000000002</v>
      </c>
      <c r="AB127" s="12">
        <f>'Actual Values'!$D$17*'NOLH Designs (2)'!R128</f>
        <v>11.25</v>
      </c>
      <c r="AC127" s="6">
        <v>0.85</v>
      </c>
      <c r="AD127" s="6">
        <v>0.36</v>
      </c>
      <c r="AE127" s="6">
        <v>0.3</v>
      </c>
      <c r="AF127" s="6">
        <v>0.84</v>
      </c>
      <c r="AG127" s="6">
        <v>0.15</v>
      </c>
      <c r="AH127" s="6">
        <v>0.14000000000000001</v>
      </c>
      <c r="AI127" s="6">
        <v>0.28999999999999998</v>
      </c>
      <c r="AJ127" s="6">
        <v>0.2</v>
      </c>
    </row>
    <row r="128" spans="1:36" x14ac:dyDescent="0.2">
      <c r="A128" s="8">
        <v>125</v>
      </c>
      <c r="B128" s="6">
        <f>'Actual Values'!$B$3*'NOLH Designs (2)'!B129</f>
        <v>6013728</v>
      </c>
      <c r="C128" s="6">
        <f>'Actual Values'!$B$5*'NOLH Designs (2)'!B129</f>
        <v>5276376</v>
      </c>
      <c r="D128" s="6">
        <f>'Actual Values'!$B$7*'NOLH Designs (2)'!B129</f>
        <v>2768632.5</v>
      </c>
      <c r="E128" s="6">
        <f>'Actual Values'!$B$9*'NOLH Designs (2)'!B129</f>
        <v>2067962.8499999999</v>
      </c>
      <c r="F128" s="12">
        <f>'Actual Values'!$C$3*'NOLH Designs (2)'!C129</f>
        <v>204979.19999999992</v>
      </c>
      <c r="G128" s="12">
        <f>'Actual Values'!$C$3-'ExpValues Eq'!F128</f>
        <v>1000780.8</v>
      </c>
      <c r="H128" s="12">
        <f>F128+'Actual Values'!$D$3</f>
        <v>427979.19999999995</v>
      </c>
      <c r="I128" s="12">
        <f>'Actual Values'!$C$5*'NOLH Designs (2)'!D129</f>
        <v>296217.60000000003</v>
      </c>
      <c r="J128" s="12">
        <f>'Actual Values'!$C$5-'ExpValues Eq'!I128</f>
        <v>761702.39999999991</v>
      </c>
      <c r="K128" s="12">
        <f>I128+'Actual Values'!$D$5</f>
        <v>554217.60000000009</v>
      </c>
      <c r="L128" s="12">
        <f>'Actual Values'!$C$7*'NOLH Designs (2)'!E129</f>
        <v>44409.120000000039</v>
      </c>
      <c r="M128" s="12">
        <f>'Actual Values'!$C$7-'ExpValues Eq'!L128</f>
        <v>510704.87999999995</v>
      </c>
      <c r="N128" s="12">
        <f>L128+'Actual Values'!$D$7</f>
        <v>218014.12000000005</v>
      </c>
      <c r="O128" s="12">
        <f>'Actual Values'!$C$9*'NOLH Designs (2)'!F129</f>
        <v>62194.349999999962</v>
      </c>
      <c r="P128" s="12">
        <f>'Actual Values'!$C$9-'ExpValues Eq'!O128</f>
        <v>352434.65</v>
      </c>
      <c r="Q128" s="12">
        <f>O128+'Actual Values'!$D$9</f>
        <v>111169.34999999996</v>
      </c>
      <c r="R128" s="12">
        <f>'Actual Values'!$A$21*'NOLH Designs (2)'!S129</f>
        <v>65.88000000000001</v>
      </c>
      <c r="S128" s="12">
        <f>'Actual Values'!$B$21*'NOLH Designs (2)'!S129</f>
        <v>112.86000000000001</v>
      </c>
      <c r="T128" s="12">
        <f>'Actual Values'!$C$21*'NOLH Designs (2)'!S129</f>
        <v>66.42</v>
      </c>
      <c r="U128" s="12">
        <f>'Actual Values'!$A$25*'NOLH Designs (2)'!T129</f>
        <v>25.500000000000004</v>
      </c>
      <c r="V128" s="12">
        <f>'Actual Values'!$B$25*'NOLH Designs (2)'!T129</f>
        <v>41.480000000000004</v>
      </c>
      <c r="W128" s="12">
        <f>'Actual Values'!$A$13*'NOLH Designs (2)'!G129</f>
        <v>20.100000000000001</v>
      </c>
      <c r="X128" s="12">
        <f>'Actual Values'!$B$13*'NOLH Designs (2)'!H129</f>
        <v>65.400000000000006</v>
      </c>
      <c r="Y128" s="12">
        <f>'Actual Values'!$A$17*'NOLH Designs (2)'!Q129</f>
        <v>4.12</v>
      </c>
      <c r="Z128" s="12">
        <f>'Actual Values'!$B$17*'NOLH Designs (2)'!R129</f>
        <v>26.73</v>
      </c>
      <c r="AA128" s="12">
        <f>'Actual Values'!$C$17*'NOLH Designs (2)'!Q129</f>
        <v>2.06</v>
      </c>
      <c r="AB128" s="12">
        <f>'Actual Values'!$D$17*'NOLH Designs (2)'!R129</f>
        <v>12.15</v>
      </c>
      <c r="AC128" s="6">
        <v>0.7</v>
      </c>
      <c r="AD128" s="6">
        <v>0.12</v>
      </c>
      <c r="AE128" s="6">
        <v>0.11</v>
      </c>
      <c r="AF128" s="6">
        <v>0.83</v>
      </c>
      <c r="AG128" s="6">
        <v>0.17</v>
      </c>
      <c r="AH128" s="6">
        <v>0.19</v>
      </c>
      <c r="AI128" s="6">
        <v>0.21</v>
      </c>
      <c r="AJ128" s="6">
        <v>0.24</v>
      </c>
    </row>
    <row r="129" spans="1:36" x14ac:dyDescent="0.2">
      <c r="A129" s="8">
        <v>126</v>
      </c>
      <c r="B129" s="6">
        <f>'Actual Values'!$B$3*'NOLH Designs (2)'!B130</f>
        <v>6583449.6000000006</v>
      </c>
      <c r="C129" s="6">
        <f>'Actual Values'!$B$5*'NOLH Designs (2)'!B130</f>
        <v>5776243.2000000002</v>
      </c>
      <c r="D129" s="6">
        <f>'Actual Values'!$B$7*'NOLH Designs (2)'!B130</f>
        <v>3030924</v>
      </c>
      <c r="E129" s="6">
        <f>'Actual Values'!$B$9*'NOLH Designs (2)'!B130</f>
        <v>2263875.12</v>
      </c>
      <c r="F129" s="12">
        <f>'Actual Values'!$C$3*'NOLH Designs (2)'!C130</f>
        <v>397900.8000000001</v>
      </c>
      <c r="G129" s="12">
        <f>'Actual Values'!$C$3-'ExpValues Eq'!F129</f>
        <v>807859.19999999995</v>
      </c>
      <c r="H129" s="12">
        <f>F129+'Actual Values'!$D$3</f>
        <v>620900.80000000005</v>
      </c>
      <c r="I129" s="12">
        <f>'Actual Values'!$C$5*'NOLH Designs (2)'!D130</f>
        <v>52896.000000000044</v>
      </c>
      <c r="J129" s="12">
        <f>'Actual Values'!$C$5-'ExpValues Eq'!I129</f>
        <v>1005024</v>
      </c>
      <c r="K129" s="12">
        <f>I129+'Actual Values'!$D$5</f>
        <v>310896.00000000006</v>
      </c>
      <c r="L129" s="12">
        <f>'Actual Values'!$C$7*'NOLH Designs (2)'!E130</f>
        <v>99920.51999999996</v>
      </c>
      <c r="M129" s="12">
        <f>'Actual Values'!$C$7-'ExpValues Eq'!L129</f>
        <v>455193.48000000004</v>
      </c>
      <c r="N129" s="12">
        <f>L129+'Actual Values'!$D$7</f>
        <v>273525.51999999996</v>
      </c>
      <c r="O129" s="12">
        <f>'Actual Values'!$C$9*'NOLH Designs (2)'!F130</f>
        <v>91218.37999999999</v>
      </c>
      <c r="P129" s="12">
        <f>'Actual Values'!$C$9-'ExpValues Eq'!O129</f>
        <v>323410.62</v>
      </c>
      <c r="Q129" s="12">
        <f>O129+'Actual Values'!$D$9</f>
        <v>140193.38</v>
      </c>
      <c r="R129" s="12">
        <f>'Actual Values'!$A$21*'NOLH Designs (2)'!S130</f>
        <v>114.67999999999999</v>
      </c>
      <c r="S129" s="12">
        <f>'Actual Values'!$B$21*'NOLH Designs (2)'!S130</f>
        <v>196.45999999999998</v>
      </c>
      <c r="T129" s="12">
        <f>'Actual Values'!$C$21*'NOLH Designs (2)'!S130</f>
        <v>115.61999999999999</v>
      </c>
      <c r="U129" s="12">
        <f>'Actual Values'!$A$25*'NOLH Designs (2)'!T130</f>
        <v>30</v>
      </c>
      <c r="V129" s="12">
        <f>'Actual Values'!$B$25*'NOLH Designs (2)'!T130</f>
        <v>48.800000000000004</v>
      </c>
      <c r="W129" s="12">
        <f>'Actual Values'!$A$13*'NOLH Designs (2)'!G130</f>
        <v>20.7</v>
      </c>
      <c r="X129" s="12">
        <f>'Actual Values'!$B$13*'NOLH Designs (2)'!H130</f>
        <v>66.600000000000009</v>
      </c>
      <c r="Y129" s="12">
        <f>'Actual Values'!$A$17*'NOLH Designs (2)'!Q130</f>
        <v>3.6</v>
      </c>
      <c r="Z129" s="12">
        <f>'Actual Values'!$B$17*'NOLH Designs (2)'!R130</f>
        <v>33.33</v>
      </c>
      <c r="AA129" s="12">
        <f>'Actual Values'!$C$17*'NOLH Designs (2)'!Q130</f>
        <v>1.8</v>
      </c>
      <c r="AB129" s="12">
        <f>'Actual Values'!$D$17*'NOLH Designs (2)'!R130</f>
        <v>15.15</v>
      </c>
      <c r="AC129" s="6">
        <v>0.86</v>
      </c>
      <c r="AD129" s="6">
        <v>0.25</v>
      </c>
      <c r="AE129" s="6">
        <v>0.31</v>
      </c>
      <c r="AF129" s="6">
        <v>0.82</v>
      </c>
      <c r="AG129" s="6">
        <v>0.36</v>
      </c>
      <c r="AH129" s="6">
        <v>0.37</v>
      </c>
      <c r="AI129" s="6">
        <v>0.12</v>
      </c>
      <c r="AJ129" s="6">
        <v>0.15</v>
      </c>
    </row>
    <row r="130" spans="1:36" x14ac:dyDescent="0.2">
      <c r="A130" s="8">
        <v>127</v>
      </c>
      <c r="B130" s="6">
        <f>'Actual Values'!$B$3*'NOLH Designs (2)'!B131</f>
        <v>6140332.7999999998</v>
      </c>
      <c r="C130" s="6">
        <f>'Actual Values'!$B$5*'NOLH Designs (2)'!B131</f>
        <v>5387457.5999999996</v>
      </c>
      <c r="D130" s="6">
        <f>'Actual Values'!$B$7*'NOLH Designs (2)'!B131</f>
        <v>2826919.5</v>
      </c>
      <c r="E130" s="6">
        <f>'Actual Values'!$B$9*'NOLH Designs (2)'!B131</f>
        <v>2111498.91</v>
      </c>
      <c r="F130" s="12">
        <f>'Actual Values'!$C$3*'NOLH Designs (2)'!C131</f>
        <v>542592</v>
      </c>
      <c r="G130" s="12">
        <f>'Actual Values'!$C$3-'ExpValues Eq'!F130</f>
        <v>663168</v>
      </c>
      <c r="H130" s="12">
        <f>F130+'Actual Values'!$D$3</f>
        <v>765592</v>
      </c>
      <c r="I130" s="12">
        <f>'Actual Values'!$C$5*'NOLH Designs (2)'!D131</f>
        <v>211583.99999999994</v>
      </c>
      <c r="J130" s="12">
        <f>'Actual Values'!$C$5-'ExpValues Eq'!I130</f>
        <v>846336</v>
      </c>
      <c r="K130" s="12">
        <f>I130+'Actual Values'!$D$5</f>
        <v>469583.99999999994</v>
      </c>
      <c r="L130" s="12">
        <f>'Actual Values'!$C$7*'NOLH Designs (2)'!E131</f>
        <v>133227.35999999999</v>
      </c>
      <c r="M130" s="12">
        <f>'Actual Values'!$C$7-'ExpValues Eq'!L130</f>
        <v>421886.64</v>
      </c>
      <c r="N130" s="12">
        <f>L130+'Actual Values'!$D$7</f>
        <v>306832.36</v>
      </c>
      <c r="O130" s="12">
        <f>'Actual Values'!$C$9*'NOLH Designs (2)'!F131</f>
        <v>62194.349999999962</v>
      </c>
      <c r="P130" s="12">
        <f>'Actual Values'!$C$9-'ExpValues Eq'!O130</f>
        <v>352434.65</v>
      </c>
      <c r="Q130" s="12">
        <f>O130+'Actual Values'!$D$9</f>
        <v>111169.34999999996</v>
      </c>
      <c r="R130" s="12">
        <f>'Actual Values'!$A$21*'NOLH Designs (2)'!S131</f>
        <v>98.820000000000007</v>
      </c>
      <c r="S130" s="12">
        <f>'Actual Values'!$B$21*'NOLH Designs (2)'!S131</f>
        <v>169.29000000000002</v>
      </c>
      <c r="T130" s="12">
        <f>'Actual Values'!$C$21*'NOLH Designs (2)'!S131</f>
        <v>99.63000000000001</v>
      </c>
      <c r="U130" s="12">
        <f>'Actual Values'!$A$25*'NOLH Designs (2)'!T131</f>
        <v>43.5</v>
      </c>
      <c r="V130" s="12">
        <f>'Actual Values'!$B$25*'NOLH Designs (2)'!T131</f>
        <v>70.759999999999991</v>
      </c>
      <c r="W130" s="12">
        <f>'Actual Values'!$A$13*'NOLH Designs (2)'!G131</f>
        <v>33.300000000000004</v>
      </c>
      <c r="X130" s="12">
        <f>'Actual Values'!$B$13*'NOLH Designs (2)'!H131</f>
        <v>44.4</v>
      </c>
      <c r="Y130" s="12">
        <f>'Actual Values'!$A$17*'NOLH Designs (2)'!Q131</f>
        <v>3.04</v>
      </c>
      <c r="Z130" s="12">
        <f>'Actual Values'!$B$17*'NOLH Designs (2)'!R131</f>
        <v>30.03</v>
      </c>
      <c r="AA130" s="12">
        <f>'Actual Values'!$C$17*'NOLH Designs (2)'!Q131</f>
        <v>1.52</v>
      </c>
      <c r="AB130" s="12">
        <f>'Actual Values'!$D$17*'NOLH Designs (2)'!R131</f>
        <v>13.65</v>
      </c>
      <c r="AC130" s="6">
        <v>0.7</v>
      </c>
      <c r="AD130" s="6">
        <v>0.21</v>
      </c>
      <c r="AE130" s="6">
        <v>0.25</v>
      </c>
      <c r="AF130" s="6">
        <v>0.86</v>
      </c>
      <c r="AG130" s="6">
        <v>0.27</v>
      </c>
      <c r="AH130" s="6">
        <v>0.34</v>
      </c>
      <c r="AI130" s="6">
        <v>0.17</v>
      </c>
      <c r="AJ130" s="6">
        <v>0.1</v>
      </c>
    </row>
    <row r="131" spans="1:36" x14ac:dyDescent="0.2">
      <c r="A131" s="8">
        <v>128</v>
      </c>
      <c r="B131" s="6">
        <f>'Actual Values'!$B$3*'NOLH Designs (2)'!B132</f>
        <v>6836659.2000000002</v>
      </c>
      <c r="C131" s="6">
        <f>'Actual Values'!$B$5*'NOLH Designs (2)'!B132</f>
        <v>5998406.4000000004</v>
      </c>
      <c r="D131" s="6">
        <f>'Actual Values'!$B$7*'NOLH Designs (2)'!B132</f>
        <v>3147498</v>
      </c>
      <c r="E131" s="6">
        <f>'Actual Values'!$B$9*'NOLH Designs (2)'!B132</f>
        <v>2350947.2400000002</v>
      </c>
      <c r="F131" s="12">
        <f>'Actual Values'!$C$3*'NOLH Designs (2)'!C132</f>
        <v>253209.59999999995</v>
      </c>
      <c r="G131" s="12">
        <f>'Actual Values'!$C$3-'ExpValues Eq'!F131</f>
        <v>952550.40000000002</v>
      </c>
      <c r="H131" s="12">
        <f>F131+'Actual Values'!$D$3</f>
        <v>476209.6</v>
      </c>
      <c r="I131" s="12">
        <f>'Actual Values'!$C$5*'NOLH Designs (2)'!D132</f>
        <v>84633.600000000079</v>
      </c>
      <c r="J131" s="12">
        <f>'Actual Values'!$C$5-'ExpValues Eq'!I131</f>
        <v>973286.39999999991</v>
      </c>
      <c r="K131" s="12">
        <f>I131+'Actual Values'!$D$5</f>
        <v>342633.60000000009</v>
      </c>
      <c r="L131" s="12">
        <f>'Actual Values'!$C$7*'NOLH Designs (2)'!E132</f>
        <v>22204.560000000019</v>
      </c>
      <c r="M131" s="12">
        <f>'Actual Values'!$C$7-'ExpValues Eq'!L131</f>
        <v>532909.43999999994</v>
      </c>
      <c r="N131" s="12">
        <f>L131+'Actual Values'!$D$7</f>
        <v>195809.56000000003</v>
      </c>
      <c r="O131" s="12">
        <f>'Actual Values'!$C$9*'NOLH Designs (2)'!F132</f>
        <v>49755.480000000047</v>
      </c>
      <c r="P131" s="12">
        <f>'Actual Values'!$C$9-'ExpValues Eq'!O131</f>
        <v>364873.51999999996</v>
      </c>
      <c r="Q131" s="12">
        <f>O131+'Actual Values'!$D$9</f>
        <v>98730.48000000004</v>
      </c>
      <c r="R131" s="12">
        <f>'Actual Values'!$A$21*'NOLH Designs (2)'!S132</f>
        <v>64.66</v>
      </c>
      <c r="S131" s="12">
        <f>'Actual Values'!$B$21*'NOLH Designs (2)'!S132</f>
        <v>110.77000000000001</v>
      </c>
      <c r="T131" s="12">
        <f>'Actual Values'!$C$21*'NOLH Designs (2)'!S132</f>
        <v>65.19</v>
      </c>
      <c r="U131" s="12">
        <f>'Actual Values'!$A$25*'NOLH Designs (2)'!T132</f>
        <v>27.75</v>
      </c>
      <c r="V131" s="12">
        <f>'Actual Values'!$B$25*'NOLH Designs (2)'!T132</f>
        <v>45.14</v>
      </c>
      <c r="W131" s="12">
        <f>'Actual Values'!$A$13*'NOLH Designs (2)'!G132</f>
        <v>32.1</v>
      </c>
      <c r="X131" s="12">
        <f>'Actual Values'!$B$13*'NOLH Designs (2)'!H132</f>
        <v>68.399999999999991</v>
      </c>
      <c r="Y131" s="12">
        <f>'Actual Values'!$A$17*'NOLH Designs (2)'!Q132</f>
        <v>3.96</v>
      </c>
      <c r="Z131" s="12">
        <f>'Actual Values'!$B$17*'NOLH Designs (2)'!R132</f>
        <v>31.349999999999998</v>
      </c>
      <c r="AA131" s="12">
        <f>'Actual Values'!$C$17*'NOLH Designs (2)'!Q132</f>
        <v>1.98</v>
      </c>
      <c r="AB131" s="12">
        <f>'Actual Values'!$D$17*'NOLH Designs (2)'!R132</f>
        <v>14.25</v>
      </c>
      <c r="AC131" s="6">
        <v>0.83</v>
      </c>
      <c r="AD131" s="6">
        <v>0.36</v>
      </c>
      <c r="AE131" s="6">
        <v>0.37</v>
      </c>
      <c r="AF131" s="6">
        <v>0.7</v>
      </c>
      <c r="AG131" s="6">
        <v>0.13</v>
      </c>
      <c r="AH131" s="6">
        <v>0.24</v>
      </c>
      <c r="AI131" s="6">
        <v>0.1</v>
      </c>
      <c r="AJ131" s="6">
        <v>0.12</v>
      </c>
    </row>
    <row r="132" spans="1:36" x14ac:dyDescent="0.2">
      <c r="A132" s="8">
        <v>129</v>
      </c>
      <c r="B132" s="6">
        <f>'Actual Values'!$B$3*'NOLH Designs (2)'!B133</f>
        <v>5064192</v>
      </c>
      <c r="C132" s="6">
        <f>'Actual Values'!$B$5*'NOLH Designs (2)'!B133</f>
        <v>4443264</v>
      </c>
      <c r="D132" s="6">
        <f>'Actual Values'!$B$7*'NOLH Designs (2)'!B133</f>
        <v>2331480</v>
      </c>
      <c r="E132" s="6">
        <f>'Actual Values'!$B$9*'NOLH Designs (2)'!B133</f>
        <v>1741442.4000000001</v>
      </c>
      <c r="F132" s="12">
        <f>'Actual Values'!$C$3*'NOLH Designs (2)'!C133</f>
        <v>265267.19999999995</v>
      </c>
      <c r="G132" s="12">
        <f>'Actual Values'!$C$3-'ExpValues Eq'!F132</f>
        <v>940492.80000000005</v>
      </c>
      <c r="H132" s="12">
        <f>F132+'Actual Values'!$D$3</f>
        <v>488267.19999999995</v>
      </c>
      <c r="I132" s="12">
        <f>'Actual Values'!$C$5*'NOLH Designs (2)'!D133</f>
        <v>179846.39999999994</v>
      </c>
      <c r="J132" s="12">
        <f>'Actual Values'!$C$5-'ExpValues Eq'!I132</f>
        <v>878073.60000000009</v>
      </c>
      <c r="K132" s="12">
        <f>I132+'Actual Values'!$D$5</f>
        <v>437846.39999999991</v>
      </c>
      <c r="L132" s="12">
        <f>'Actual Values'!$C$7*'NOLH Designs (2)'!E133</f>
        <v>38857.980000000032</v>
      </c>
      <c r="M132" s="12">
        <f>'Actual Values'!$C$7-'ExpValues Eq'!L132</f>
        <v>516256.01999999996</v>
      </c>
      <c r="N132" s="12">
        <f>L132+'Actual Values'!$D$7</f>
        <v>212462.98000000004</v>
      </c>
      <c r="O132" s="12">
        <f>'Actual Values'!$C$9*'NOLH Designs (2)'!F133</f>
        <v>20731.450000000019</v>
      </c>
      <c r="P132" s="12">
        <f>'Actual Values'!$C$9-'ExpValues Eq'!O132</f>
        <v>393897.55</v>
      </c>
      <c r="Q132" s="12">
        <f>O132+'Actual Values'!$D$9</f>
        <v>69706.450000000012</v>
      </c>
      <c r="R132" s="12">
        <f>'Actual Values'!$A$21*'NOLH Designs (2)'!S133</f>
        <v>73.2</v>
      </c>
      <c r="S132" s="12">
        <f>'Actual Values'!$B$21*'NOLH Designs (2)'!S133</f>
        <v>125.39999999999999</v>
      </c>
      <c r="T132" s="12">
        <f>'Actual Values'!$C$21*'NOLH Designs (2)'!S133</f>
        <v>73.8</v>
      </c>
      <c r="U132" s="12">
        <f>'Actual Values'!$A$25*'NOLH Designs (2)'!T133</f>
        <v>35.25</v>
      </c>
      <c r="V132" s="12">
        <f>'Actual Values'!$B$25*'NOLH Designs (2)'!T133</f>
        <v>57.339999999999996</v>
      </c>
      <c r="W132" s="12">
        <f>'Actual Values'!$A$13*'NOLH Designs (2)'!G133</f>
        <v>28.2</v>
      </c>
      <c r="X132" s="12">
        <f>'Actual Values'!$B$13*'NOLH Designs (2)'!H133</f>
        <v>45.6</v>
      </c>
      <c r="Y132" s="12">
        <f>'Actual Values'!$A$17*'NOLH Designs (2)'!Q133</f>
        <v>3.72</v>
      </c>
      <c r="Z132" s="12">
        <f>'Actual Values'!$B$17*'NOLH Designs (2)'!R133</f>
        <v>32.339999999999996</v>
      </c>
      <c r="AA132" s="12">
        <f>'Actual Values'!$C$17*'NOLH Designs (2)'!Q133</f>
        <v>1.86</v>
      </c>
      <c r="AB132" s="12">
        <f>'Actual Values'!$D$17*'NOLH Designs (2)'!R133</f>
        <v>14.7</v>
      </c>
      <c r="AC132" s="6">
        <v>0.73</v>
      </c>
      <c r="AD132" s="6">
        <v>0.12</v>
      </c>
      <c r="AE132" s="6">
        <v>0.18</v>
      </c>
      <c r="AF132" s="6">
        <v>0.64</v>
      </c>
      <c r="AG132" s="6">
        <v>0.25</v>
      </c>
      <c r="AH132" s="6">
        <v>0.17</v>
      </c>
      <c r="AI132" s="6">
        <v>0.15</v>
      </c>
      <c r="AJ132" s="6">
        <v>0.18</v>
      </c>
    </row>
  </sheetData>
  <mergeCells count="27">
    <mergeCell ref="AJ2:AJ3"/>
    <mergeCell ref="AE2:AE3"/>
    <mergeCell ref="AF2:AF3"/>
    <mergeCell ref="AG2:AG3"/>
    <mergeCell ref="AH2:AH3"/>
    <mergeCell ref="AI2:AI3"/>
    <mergeCell ref="F2:H2"/>
    <mergeCell ref="I2:K2"/>
    <mergeCell ref="L2:N2"/>
    <mergeCell ref="O2:Q2"/>
    <mergeCell ref="AD2:AD3"/>
    <mergeCell ref="B1:E2"/>
    <mergeCell ref="F1:V1"/>
    <mergeCell ref="W2:W3"/>
    <mergeCell ref="X2:X3"/>
    <mergeCell ref="AC2:AC3"/>
    <mergeCell ref="S2:S3"/>
    <mergeCell ref="T2:T3"/>
    <mergeCell ref="U2:U3"/>
    <mergeCell ref="V2:V3"/>
    <mergeCell ref="Y2:Y3"/>
    <mergeCell ref="Z2:Z3"/>
    <mergeCell ref="AA2:AA3"/>
    <mergeCell ref="AB2:AB3"/>
    <mergeCell ref="R2:R3"/>
    <mergeCell ref="W1:AB1"/>
    <mergeCell ref="AC1:A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459B0-9634-274E-8D5D-8C692E12C4B1}">
  <dimension ref="A1:AJ132"/>
  <sheetViews>
    <sheetView zoomScale="125" workbookViewId="0">
      <selection activeCell="B4" sqref="B4"/>
    </sheetView>
  </sheetViews>
  <sheetFormatPr baseColWidth="10" defaultRowHeight="16" x14ac:dyDescent="0.2"/>
  <cols>
    <col min="1" max="1" width="10.6640625" style="48" bestFit="1" customWidth="1"/>
    <col min="2" max="4" width="10" style="49" bestFit="1" customWidth="1"/>
    <col min="5" max="5" width="11.1640625" style="49" bestFit="1" customWidth="1"/>
    <col min="6" max="6" width="9.1640625" style="49" bestFit="1" customWidth="1"/>
    <col min="7" max="7" width="10" style="49" bestFit="1" customWidth="1"/>
    <col min="8" max="8" width="10.1640625" style="49" bestFit="1" customWidth="1"/>
    <col min="9" max="9" width="9.1640625" style="49" bestFit="1" customWidth="1"/>
    <col min="10" max="10" width="10" style="49" bestFit="1" customWidth="1"/>
    <col min="11" max="11" width="9.83203125" style="49" bestFit="1" customWidth="1"/>
    <col min="12" max="17" width="10" style="49" bestFit="1" customWidth="1"/>
    <col min="18" max="20" width="10.83203125" style="49"/>
    <col min="21" max="22" width="10.33203125" style="49" bestFit="1" customWidth="1"/>
    <col min="23" max="23" width="10.83203125" style="49"/>
    <col min="24" max="24" width="10.1640625" style="49" bestFit="1" customWidth="1"/>
    <col min="25" max="25" width="10.6640625" style="49" bestFit="1" customWidth="1"/>
    <col min="26" max="26" width="10.5" style="49" bestFit="1" customWidth="1"/>
    <col min="27" max="27" width="10" style="49" bestFit="1" customWidth="1"/>
    <col min="28" max="28" width="10.5" style="49" bestFit="1" customWidth="1"/>
    <col min="29" max="29" width="24.5" style="49" bestFit="1" customWidth="1"/>
    <col min="30" max="30" width="16" style="49" bestFit="1" customWidth="1"/>
    <col min="31" max="31" width="14.6640625" style="49" customWidth="1"/>
    <col min="32" max="32" width="16.6640625" style="49" bestFit="1" customWidth="1"/>
    <col min="33" max="33" width="16" style="49" bestFit="1" customWidth="1"/>
    <col min="34" max="34" width="21.1640625" style="49" bestFit="1" customWidth="1"/>
    <col min="35" max="35" width="25.83203125" style="49" bestFit="1" customWidth="1"/>
    <col min="36" max="36" width="20.83203125" style="49" bestFit="1" customWidth="1"/>
    <col min="37" max="16384" width="10.83203125" style="49"/>
  </cols>
  <sheetData>
    <row r="1" spans="1:36" s="53" customFormat="1" ht="56" customHeight="1" x14ac:dyDescent="0.2">
      <c r="A1" s="76" t="s">
        <v>3</v>
      </c>
      <c r="B1" s="75" t="s">
        <v>110</v>
      </c>
      <c r="C1" s="75"/>
      <c r="D1" s="75"/>
      <c r="E1" s="75"/>
      <c r="F1" s="75" t="s">
        <v>147</v>
      </c>
      <c r="G1" s="75"/>
      <c r="H1" s="75"/>
      <c r="I1" s="75"/>
      <c r="J1" s="75"/>
      <c r="K1" s="75"/>
      <c r="L1" s="75"/>
      <c r="M1" s="75"/>
      <c r="N1" s="75"/>
      <c r="O1" s="75"/>
      <c r="P1" s="75"/>
      <c r="Q1" s="75"/>
      <c r="R1" s="75"/>
      <c r="S1" s="75"/>
      <c r="T1" s="75"/>
      <c r="U1" s="75"/>
      <c r="V1" s="75"/>
      <c r="W1" s="75" t="s">
        <v>129</v>
      </c>
      <c r="X1" s="75"/>
      <c r="Y1" s="75"/>
      <c r="Z1" s="75"/>
      <c r="AA1" s="75"/>
      <c r="AB1" s="75"/>
      <c r="AC1" s="75" t="s">
        <v>148</v>
      </c>
      <c r="AD1" s="75"/>
      <c r="AE1" s="75"/>
      <c r="AF1" s="75"/>
      <c r="AG1" s="75"/>
      <c r="AH1" s="75"/>
      <c r="AI1" s="75"/>
      <c r="AJ1" s="75"/>
    </row>
    <row r="2" spans="1:36" s="53" customFormat="1" ht="85" x14ac:dyDescent="0.2">
      <c r="A2" s="76"/>
      <c r="B2" s="75"/>
      <c r="C2" s="75"/>
      <c r="D2" s="75"/>
      <c r="E2" s="75"/>
      <c r="F2" s="76" t="s">
        <v>4</v>
      </c>
      <c r="G2" s="76"/>
      <c r="H2" s="76"/>
      <c r="I2" s="76" t="s">
        <v>5</v>
      </c>
      <c r="J2" s="76"/>
      <c r="K2" s="76"/>
      <c r="L2" s="76" t="s">
        <v>6</v>
      </c>
      <c r="M2" s="76"/>
      <c r="N2" s="76"/>
      <c r="O2" s="76" t="s">
        <v>7</v>
      </c>
      <c r="P2" s="76"/>
      <c r="Q2" s="76"/>
      <c r="R2" s="54" t="s">
        <v>33</v>
      </c>
      <c r="S2" s="54" t="s">
        <v>34</v>
      </c>
      <c r="T2" s="54" t="s">
        <v>35</v>
      </c>
      <c r="U2" s="54" t="s">
        <v>36</v>
      </c>
      <c r="V2" s="54" t="s">
        <v>37</v>
      </c>
      <c r="W2" s="54" t="s">
        <v>8</v>
      </c>
      <c r="X2" s="54" t="s">
        <v>9</v>
      </c>
      <c r="Y2" s="54" t="s">
        <v>29</v>
      </c>
      <c r="Z2" s="54" t="s">
        <v>30</v>
      </c>
      <c r="AA2" s="54" t="s">
        <v>31</v>
      </c>
      <c r="AB2" s="54" t="s">
        <v>32</v>
      </c>
      <c r="AC2" s="54" t="s">
        <v>10</v>
      </c>
      <c r="AD2" s="54" t="s">
        <v>11</v>
      </c>
      <c r="AE2" s="54" t="s">
        <v>12</v>
      </c>
      <c r="AF2" s="54" t="s">
        <v>13</v>
      </c>
      <c r="AG2" s="54" t="s">
        <v>14</v>
      </c>
      <c r="AH2" s="54" t="s">
        <v>15</v>
      </c>
      <c r="AI2" s="54" t="s">
        <v>16</v>
      </c>
      <c r="AJ2" s="54" t="s">
        <v>17</v>
      </c>
    </row>
    <row r="3" spans="1:36" s="53" customFormat="1" ht="34" x14ac:dyDescent="0.2">
      <c r="A3" s="50"/>
      <c r="B3" s="54" t="s">
        <v>26</v>
      </c>
      <c r="C3" s="54" t="s">
        <v>25</v>
      </c>
      <c r="D3" s="54" t="s">
        <v>27</v>
      </c>
      <c r="E3" s="54" t="s">
        <v>28</v>
      </c>
      <c r="F3" s="54" t="s">
        <v>40</v>
      </c>
      <c r="G3" s="54" t="s">
        <v>38</v>
      </c>
      <c r="H3" s="54" t="s">
        <v>39</v>
      </c>
      <c r="I3" s="54" t="s">
        <v>40</v>
      </c>
      <c r="J3" s="54" t="s">
        <v>41</v>
      </c>
      <c r="K3" s="54" t="s">
        <v>42</v>
      </c>
      <c r="L3" s="54" t="s">
        <v>40</v>
      </c>
      <c r="M3" s="54" t="s">
        <v>43</v>
      </c>
      <c r="N3" s="54" t="s">
        <v>44</v>
      </c>
      <c r="O3" s="54" t="s">
        <v>40</v>
      </c>
      <c r="P3" s="54" t="s">
        <v>45</v>
      </c>
      <c r="Q3" s="54" t="s">
        <v>46</v>
      </c>
      <c r="R3" s="54"/>
      <c r="S3" s="54"/>
      <c r="T3" s="54"/>
      <c r="U3" s="54"/>
      <c r="V3" s="54"/>
      <c r="W3" s="54"/>
      <c r="X3" s="54"/>
      <c r="Y3" s="54"/>
      <c r="Z3" s="54"/>
      <c r="AA3" s="54"/>
      <c r="AB3" s="54"/>
      <c r="AC3" s="54"/>
      <c r="AD3" s="54"/>
      <c r="AE3" s="54"/>
      <c r="AF3" s="54"/>
      <c r="AG3" s="54"/>
      <c r="AH3" s="54"/>
      <c r="AI3" s="54"/>
      <c r="AJ3" s="54"/>
    </row>
    <row r="4" spans="1:36" ht="25" customHeight="1" x14ac:dyDescent="0.2">
      <c r="A4" s="51">
        <v>1</v>
      </c>
      <c r="B4" s="52">
        <v>5507308.7999999998</v>
      </c>
      <c r="C4" s="52">
        <v>4832049.5999999996</v>
      </c>
      <c r="D4" s="52">
        <v>2535484.5</v>
      </c>
      <c r="E4" s="52">
        <v>1893818.61</v>
      </c>
      <c r="F4" s="52">
        <v>265267.19999999995</v>
      </c>
      <c r="G4" s="52">
        <v>940492.80000000005</v>
      </c>
      <c r="H4" s="52">
        <v>488267.19999999995</v>
      </c>
      <c r="I4" s="52">
        <v>211583.99999999994</v>
      </c>
      <c r="J4" s="52">
        <v>846336</v>
      </c>
      <c r="K4" s="52">
        <v>469583.99999999994</v>
      </c>
      <c r="L4" s="52">
        <v>127676.21999999999</v>
      </c>
      <c r="M4" s="52">
        <v>427437.78</v>
      </c>
      <c r="N4" s="52">
        <v>301281.21999999997</v>
      </c>
      <c r="O4" s="52">
        <v>70486.929999999964</v>
      </c>
      <c r="P4" s="52">
        <v>344142.07000000007</v>
      </c>
      <c r="Q4" s="52">
        <v>119461.92999999996</v>
      </c>
      <c r="R4" s="52">
        <v>79.3</v>
      </c>
      <c r="S4" s="52">
        <v>135.85</v>
      </c>
      <c r="T4" s="52">
        <v>79.95</v>
      </c>
      <c r="U4" s="52">
        <v>69</v>
      </c>
      <c r="V4" s="52">
        <v>112.24000000000001</v>
      </c>
      <c r="W4" s="52">
        <v>34.5</v>
      </c>
      <c r="X4" s="52">
        <v>63</v>
      </c>
      <c r="Y4" s="52">
        <v>4.24</v>
      </c>
      <c r="Z4" s="52">
        <v>38.61</v>
      </c>
      <c r="AA4" s="52">
        <v>2.12</v>
      </c>
      <c r="AB4" s="52">
        <v>17.549999999999997</v>
      </c>
      <c r="AC4" s="52">
        <v>0.83</v>
      </c>
      <c r="AD4" s="52">
        <v>0.27</v>
      </c>
      <c r="AE4" s="52">
        <v>0.38</v>
      </c>
      <c r="AF4" s="52">
        <v>0.83</v>
      </c>
      <c r="AG4" s="52">
        <v>0.33</v>
      </c>
      <c r="AH4" s="52">
        <v>0.28000000000000003</v>
      </c>
      <c r="AI4" s="52">
        <v>0.3</v>
      </c>
      <c r="AJ4" s="52">
        <v>0.28999999999999998</v>
      </c>
    </row>
    <row r="5" spans="1:36" ht="25" customHeight="1" x14ac:dyDescent="0.2">
      <c r="A5" s="51">
        <v>2</v>
      </c>
      <c r="B5" s="52">
        <v>7596288</v>
      </c>
      <c r="C5" s="52">
        <v>6664896</v>
      </c>
      <c r="D5" s="52">
        <v>3497220</v>
      </c>
      <c r="E5" s="52">
        <v>2612163.6</v>
      </c>
      <c r="F5" s="52">
        <v>180863.99999999988</v>
      </c>
      <c r="G5" s="52">
        <v>1024896.0000000001</v>
      </c>
      <c r="H5" s="52">
        <v>403863.99999999988</v>
      </c>
      <c r="I5" s="52">
        <v>222163.19999999995</v>
      </c>
      <c r="J5" s="52">
        <v>835756.8</v>
      </c>
      <c r="K5" s="52">
        <v>480163.19999999995</v>
      </c>
      <c r="L5" s="52">
        <v>127676.21999999999</v>
      </c>
      <c r="M5" s="52">
        <v>427437.78</v>
      </c>
      <c r="N5" s="52">
        <v>301281.21999999997</v>
      </c>
      <c r="O5" s="52">
        <v>20731.450000000019</v>
      </c>
      <c r="P5" s="52">
        <v>393897.55</v>
      </c>
      <c r="Q5" s="52">
        <v>69706.450000000012</v>
      </c>
      <c r="R5" s="52">
        <v>82.960000000000008</v>
      </c>
      <c r="S5" s="52">
        <v>142.12</v>
      </c>
      <c r="T5" s="52">
        <v>83.64</v>
      </c>
      <c r="U5" s="52">
        <v>53.25</v>
      </c>
      <c r="V5" s="52">
        <v>86.61999999999999</v>
      </c>
      <c r="W5" s="52">
        <v>28.799999999999997</v>
      </c>
      <c r="X5" s="52">
        <v>56.4</v>
      </c>
      <c r="Y5" s="52">
        <v>4.5999999999999996</v>
      </c>
      <c r="Z5" s="52">
        <v>39.6</v>
      </c>
      <c r="AA5" s="52">
        <v>2.2999999999999998</v>
      </c>
      <c r="AB5" s="52">
        <v>18</v>
      </c>
      <c r="AC5" s="52">
        <v>0.66</v>
      </c>
      <c r="AD5" s="52">
        <v>0.24</v>
      </c>
      <c r="AE5" s="52">
        <v>0.21</v>
      </c>
      <c r="AF5" s="52">
        <v>0.88</v>
      </c>
      <c r="AG5" s="52">
        <v>0.28000000000000003</v>
      </c>
      <c r="AH5" s="52">
        <v>0.28999999999999998</v>
      </c>
      <c r="AI5" s="52">
        <v>0.28999999999999998</v>
      </c>
      <c r="AJ5" s="52">
        <v>0.25</v>
      </c>
    </row>
    <row r="6" spans="1:36" ht="25" customHeight="1" x14ac:dyDescent="0.2">
      <c r="A6" s="51">
        <v>3</v>
      </c>
      <c r="B6" s="52">
        <v>6140332.7999999998</v>
      </c>
      <c r="C6" s="52">
        <v>5387457.5999999996</v>
      </c>
      <c r="D6" s="52">
        <v>2826919.5</v>
      </c>
      <c r="E6" s="52">
        <v>2111498.91</v>
      </c>
      <c r="F6" s="52">
        <v>458188.79999999987</v>
      </c>
      <c r="G6" s="52">
        <v>747571.20000000019</v>
      </c>
      <c r="H6" s="52">
        <v>681188.79999999981</v>
      </c>
      <c r="I6" s="52">
        <v>0</v>
      </c>
      <c r="J6" s="52">
        <v>1057920</v>
      </c>
      <c r="K6" s="52">
        <v>258000</v>
      </c>
      <c r="L6" s="52">
        <v>77715.959999999948</v>
      </c>
      <c r="M6" s="52">
        <v>477398.04000000004</v>
      </c>
      <c r="N6" s="52">
        <v>251320.95999999996</v>
      </c>
      <c r="O6" s="52">
        <v>87072.089999999982</v>
      </c>
      <c r="P6" s="52">
        <v>327556.91000000003</v>
      </c>
      <c r="Q6" s="52">
        <v>136047.08999999997</v>
      </c>
      <c r="R6" s="52">
        <v>43.92</v>
      </c>
      <c r="S6" s="52">
        <v>75.239999999999995</v>
      </c>
      <c r="T6" s="52">
        <v>44.28</v>
      </c>
      <c r="U6" s="52">
        <v>66</v>
      </c>
      <c r="V6" s="52">
        <v>107.36</v>
      </c>
      <c r="W6" s="52">
        <v>21.9</v>
      </c>
      <c r="X6" s="52">
        <v>72</v>
      </c>
      <c r="Y6" s="52">
        <v>4.28</v>
      </c>
      <c r="Z6" s="52">
        <v>33.99</v>
      </c>
      <c r="AA6" s="52">
        <v>2.14</v>
      </c>
      <c r="AB6" s="52">
        <v>15.450000000000001</v>
      </c>
      <c r="AC6" s="52">
        <v>0.79</v>
      </c>
      <c r="AD6" s="52">
        <v>0.28000000000000003</v>
      </c>
      <c r="AE6" s="52">
        <v>0.27</v>
      </c>
      <c r="AF6" s="52">
        <v>0.74</v>
      </c>
      <c r="AG6" s="52">
        <v>0.15</v>
      </c>
      <c r="AH6" s="52">
        <v>0.25</v>
      </c>
      <c r="AI6" s="52">
        <v>0.27</v>
      </c>
      <c r="AJ6" s="52">
        <v>0.3</v>
      </c>
    </row>
    <row r="7" spans="1:36" ht="25" customHeight="1" x14ac:dyDescent="0.2">
      <c r="A7" s="51">
        <v>4</v>
      </c>
      <c r="B7" s="52">
        <v>6963264.0000000009</v>
      </c>
      <c r="C7" s="52">
        <v>6109488.0000000009</v>
      </c>
      <c r="D7" s="52">
        <v>3205785.0000000005</v>
      </c>
      <c r="E7" s="52">
        <v>2394483.3000000003</v>
      </c>
      <c r="F7" s="52">
        <v>542592</v>
      </c>
      <c r="G7" s="52">
        <v>663168</v>
      </c>
      <c r="H7" s="52">
        <v>765592</v>
      </c>
      <c r="I7" s="52">
        <v>158687.99999999991</v>
      </c>
      <c r="J7" s="52">
        <v>899232.00000000012</v>
      </c>
      <c r="K7" s="52">
        <v>416687.99999999988</v>
      </c>
      <c r="L7" s="52">
        <v>99920.51999999996</v>
      </c>
      <c r="M7" s="52">
        <v>455193.48000000004</v>
      </c>
      <c r="N7" s="52">
        <v>273525.51999999996</v>
      </c>
      <c r="O7" s="52">
        <v>91218.37999999999</v>
      </c>
      <c r="P7" s="52">
        <v>323410.62</v>
      </c>
      <c r="Q7" s="52">
        <v>140193.38</v>
      </c>
      <c r="R7" s="52">
        <v>63.440000000000005</v>
      </c>
      <c r="S7" s="52">
        <v>108.68</v>
      </c>
      <c r="T7" s="52">
        <v>63.96</v>
      </c>
      <c r="U7" s="52">
        <v>51.749999999999993</v>
      </c>
      <c r="V7" s="52">
        <v>84.179999999999993</v>
      </c>
      <c r="W7" s="52">
        <v>36.299999999999997</v>
      </c>
      <c r="X7" s="52">
        <v>39.6</v>
      </c>
      <c r="Y7" s="52">
        <v>4.92</v>
      </c>
      <c r="Z7" s="52">
        <v>34.65</v>
      </c>
      <c r="AA7" s="52">
        <v>2.46</v>
      </c>
      <c r="AB7" s="52">
        <v>15.75</v>
      </c>
      <c r="AC7" s="52">
        <v>0.72</v>
      </c>
      <c r="AD7" s="52">
        <v>0.18</v>
      </c>
      <c r="AE7" s="52">
        <v>0.24</v>
      </c>
      <c r="AF7" s="52">
        <v>0.72</v>
      </c>
      <c r="AG7" s="52">
        <v>0.21</v>
      </c>
      <c r="AH7" s="52">
        <v>0.2</v>
      </c>
      <c r="AI7" s="52">
        <v>0.3</v>
      </c>
      <c r="AJ7" s="52">
        <v>0.23</v>
      </c>
    </row>
    <row r="8" spans="1:36" ht="25" customHeight="1" x14ac:dyDescent="0.2">
      <c r="A8" s="51">
        <v>5</v>
      </c>
      <c r="B8" s="52">
        <v>4747680</v>
      </c>
      <c r="C8" s="52">
        <v>4165560</v>
      </c>
      <c r="D8" s="52">
        <v>2185762.5</v>
      </c>
      <c r="E8" s="52">
        <v>1632602.25</v>
      </c>
      <c r="F8" s="52">
        <v>241151.99999999994</v>
      </c>
      <c r="G8" s="52">
        <v>964608</v>
      </c>
      <c r="H8" s="52">
        <v>464151.99999999994</v>
      </c>
      <c r="I8" s="52">
        <v>296217.60000000003</v>
      </c>
      <c r="J8" s="52">
        <v>761702.39999999991</v>
      </c>
      <c r="K8" s="52">
        <v>554217.60000000009</v>
      </c>
      <c r="L8" s="52">
        <v>66613.680000000066</v>
      </c>
      <c r="M8" s="52">
        <v>488500.31999999995</v>
      </c>
      <c r="N8" s="52">
        <v>240218.68000000005</v>
      </c>
      <c r="O8" s="52">
        <v>20731.450000000019</v>
      </c>
      <c r="P8" s="52">
        <v>393897.55</v>
      </c>
      <c r="Q8" s="52">
        <v>69706.450000000012</v>
      </c>
      <c r="R8" s="52">
        <v>91.5</v>
      </c>
      <c r="S8" s="52">
        <v>156.75</v>
      </c>
      <c r="T8" s="52">
        <v>92.25</v>
      </c>
      <c r="U8" s="52">
        <v>59.25</v>
      </c>
      <c r="V8" s="52">
        <v>96.38000000000001</v>
      </c>
      <c r="W8" s="52">
        <v>30.900000000000002</v>
      </c>
      <c r="X8" s="52">
        <v>53.4</v>
      </c>
      <c r="Y8" s="52">
        <v>3.88</v>
      </c>
      <c r="Z8" s="52">
        <v>39.269999999999996</v>
      </c>
      <c r="AA8" s="52">
        <v>1.94</v>
      </c>
      <c r="AB8" s="52">
        <v>17.849999999999998</v>
      </c>
      <c r="AC8" s="52">
        <v>0.88</v>
      </c>
      <c r="AD8" s="52">
        <v>0.4</v>
      </c>
      <c r="AE8" s="52">
        <v>0.28999999999999998</v>
      </c>
      <c r="AF8" s="52">
        <v>0.63</v>
      </c>
      <c r="AG8" s="52">
        <v>0.4</v>
      </c>
      <c r="AH8" s="52">
        <v>0.36</v>
      </c>
      <c r="AI8" s="52">
        <v>0.15</v>
      </c>
      <c r="AJ8" s="52">
        <v>0.19</v>
      </c>
    </row>
    <row r="9" spans="1:36" ht="25" customHeight="1" x14ac:dyDescent="0.2">
      <c r="A9" s="51">
        <v>6</v>
      </c>
      <c r="B9" s="52">
        <v>6963264.0000000009</v>
      </c>
      <c r="C9" s="52">
        <v>6109488.0000000009</v>
      </c>
      <c r="D9" s="52">
        <v>3205785.0000000005</v>
      </c>
      <c r="E9" s="52">
        <v>2394483.3000000003</v>
      </c>
      <c r="F9" s="52">
        <v>253209.59999999995</v>
      </c>
      <c r="G9" s="52">
        <v>952550.40000000002</v>
      </c>
      <c r="H9" s="52">
        <v>476209.6</v>
      </c>
      <c r="I9" s="52">
        <v>370272.00000000012</v>
      </c>
      <c r="J9" s="52">
        <v>687647.99999999988</v>
      </c>
      <c r="K9" s="52">
        <v>628272.00000000012</v>
      </c>
      <c r="L9" s="52">
        <v>0</v>
      </c>
      <c r="M9" s="52">
        <v>555114</v>
      </c>
      <c r="N9" s="52">
        <v>173605</v>
      </c>
      <c r="O9" s="52">
        <v>82925.799999999988</v>
      </c>
      <c r="P9" s="52">
        <v>331703.2</v>
      </c>
      <c r="Q9" s="52">
        <v>131900.79999999999</v>
      </c>
      <c r="R9" s="52">
        <v>111.02000000000001</v>
      </c>
      <c r="S9" s="52">
        <v>190.19</v>
      </c>
      <c r="T9" s="52">
        <v>111.93</v>
      </c>
      <c r="U9" s="52">
        <v>61.499999999999993</v>
      </c>
      <c r="V9" s="52">
        <v>100.03999999999999</v>
      </c>
      <c r="W9" s="52">
        <v>25.8</v>
      </c>
      <c r="X9" s="52">
        <v>64.2</v>
      </c>
      <c r="Y9" s="52">
        <v>3.68</v>
      </c>
      <c r="Z9" s="52">
        <v>39.93</v>
      </c>
      <c r="AA9" s="52">
        <v>1.84</v>
      </c>
      <c r="AB9" s="52">
        <v>18.149999999999999</v>
      </c>
      <c r="AC9" s="52">
        <v>0.61</v>
      </c>
      <c r="AD9" s="52">
        <v>0.18</v>
      </c>
      <c r="AE9" s="52">
        <v>0.14000000000000001</v>
      </c>
      <c r="AF9" s="52">
        <v>0.65</v>
      </c>
      <c r="AG9" s="52">
        <v>0.4</v>
      </c>
      <c r="AH9" s="52">
        <v>0.28999999999999998</v>
      </c>
      <c r="AI9" s="52">
        <v>0.2</v>
      </c>
      <c r="AJ9" s="52">
        <v>0.16</v>
      </c>
    </row>
    <row r="10" spans="1:36" ht="25" customHeight="1" x14ac:dyDescent="0.2">
      <c r="A10" s="51">
        <v>7</v>
      </c>
      <c r="B10" s="52">
        <v>6013728</v>
      </c>
      <c r="C10" s="52">
        <v>5276376</v>
      </c>
      <c r="D10" s="52">
        <v>2768632.5</v>
      </c>
      <c r="E10" s="52">
        <v>2067962.8499999999</v>
      </c>
      <c r="F10" s="52">
        <v>602880</v>
      </c>
      <c r="G10" s="52">
        <v>602880</v>
      </c>
      <c r="H10" s="52">
        <v>825880</v>
      </c>
      <c r="I10" s="52">
        <v>402009.59999999986</v>
      </c>
      <c r="J10" s="52">
        <v>655910.40000000014</v>
      </c>
      <c r="K10" s="52">
        <v>660009.59999999986</v>
      </c>
      <c r="L10" s="52">
        <v>77715.959999999948</v>
      </c>
      <c r="M10" s="52">
        <v>477398.04000000004</v>
      </c>
      <c r="N10" s="52">
        <v>251320.95999999996</v>
      </c>
      <c r="O10" s="52">
        <v>33170.320000000029</v>
      </c>
      <c r="P10" s="52">
        <v>381458.68</v>
      </c>
      <c r="Q10" s="52">
        <v>82145.320000000036</v>
      </c>
      <c r="R10" s="52">
        <v>62.22</v>
      </c>
      <c r="S10" s="52">
        <v>106.59</v>
      </c>
      <c r="T10" s="52">
        <v>62.730000000000004</v>
      </c>
      <c r="U10" s="52">
        <v>71.25</v>
      </c>
      <c r="V10" s="52">
        <v>115.89999999999999</v>
      </c>
      <c r="W10" s="52">
        <v>23.400000000000002</v>
      </c>
      <c r="X10" s="52">
        <v>47.400000000000006</v>
      </c>
      <c r="Y10" s="52">
        <v>3.64</v>
      </c>
      <c r="Z10" s="52">
        <v>39.93</v>
      </c>
      <c r="AA10" s="52">
        <v>1.82</v>
      </c>
      <c r="AB10" s="52">
        <v>18.149999999999999</v>
      </c>
      <c r="AC10" s="52">
        <v>0.88</v>
      </c>
      <c r="AD10" s="52">
        <v>0.39</v>
      </c>
      <c r="AE10" s="52">
        <v>0.32</v>
      </c>
      <c r="AF10" s="52">
        <v>0.81</v>
      </c>
      <c r="AG10" s="52">
        <v>0.13</v>
      </c>
      <c r="AH10" s="52">
        <v>0.1</v>
      </c>
      <c r="AI10" s="52">
        <v>0.12</v>
      </c>
      <c r="AJ10" s="52">
        <v>0.19</v>
      </c>
    </row>
    <row r="11" spans="1:36" ht="25" customHeight="1" x14ac:dyDescent="0.2">
      <c r="A11" s="51">
        <v>8</v>
      </c>
      <c r="B11" s="52">
        <v>6583449.6000000006</v>
      </c>
      <c r="C11" s="52">
        <v>5776243.2000000002</v>
      </c>
      <c r="D11" s="52">
        <v>3030924</v>
      </c>
      <c r="E11" s="52">
        <v>2263875.12</v>
      </c>
      <c r="F11" s="52">
        <v>422016.00000000012</v>
      </c>
      <c r="G11" s="52">
        <v>783743.99999999988</v>
      </c>
      <c r="H11" s="52">
        <v>645016.00000000012</v>
      </c>
      <c r="I11" s="52">
        <v>476063.99999999994</v>
      </c>
      <c r="J11" s="52">
        <v>581856</v>
      </c>
      <c r="K11" s="52">
        <v>734064</v>
      </c>
      <c r="L11" s="52">
        <v>16653.420000000016</v>
      </c>
      <c r="M11" s="52">
        <v>538460.57999999996</v>
      </c>
      <c r="N11" s="52">
        <v>190258.42</v>
      </c>
      <c r="O11" s="52">
        <v>70486.929999999964</v>
      </c>
      <c r="P11" s="52">
        <v>344142.07000000007</v>
      </c>
      <c r="Q11" s="52">
        <v>119461.92999999996</v>
      </c>
      <c r="R11" s="52">
        <v>39.04</v>
      </c>
      <c r="S11" s="52">
        <v>66.88</v>
      </c>
      <c r="T11" s="52">
        <v>39.36</v>
      </c>
      <c r="U11" s="52">
        <v>73.5</v>
      </c>
      <c r="V11" s="52">
        <v>119.56</v>
      </c>
      <c r="W11" s="52">
        <v>40.200000000000003</v>
      </c>
      <c r="X11" s="52">
        <v>77.400000000000006</v>
      </c>
      <c r="Y11" s="52">
        <v>3.84</v>
      </c>
      <c r="Z11" s="52">
        <v>32.339999999999996</v>
      </c>
      <c r="AA11" s="52">
        <v>1.92</v>
      </c>
      <c r="AB11" s="52">
        <v>14.7</v>
      </c>
      <c r="AC11" s="52">
        <v>0.6</v>
      </c>
      <c r="AD11" s="52">
        <v>0.19</v>
      </c>
      <c r="AE11" s="52">
        <v>0.16</v>
      </c>
      <c r="AF11" s="52">
        <v>0.75</v>
      </c>
      <c r="AG11" s="52">
        <v>0.13</v>
      </c>
      <c r="AH11" s="52">
        <v>0.15</v>
      </c>
      <c r="AI11" s="52">
        <v>0.16</v>
      </c>
      <c r="AJ11" s="52">
        <v>0.17</v>
      </c>
    </row>
    <row r="12" spans="1:36" ht="25" customHeight="1" x14ac:dyDescent="0.2">
      <c r="A12" s="51">
        <v>9</v>
      </c>
      <c r="B12" s="52">
        <v>4810982.4000000004</v>
      </c>
      <c r="C12" s="52">
        <v>4221100.8</v>
      </c>
      <c r="D12" s="52">
        <v>2214906</v>
      </c>
      <c r="E12" s="52">
        <v>1654370.28</v>
      </c>
      <c r="F12" s="52">
        <v>24115.200000000023</v>
      </c>
      <c r="G12" s="52">
        <v>1181644.8</v>
      </c>
      <c r="H12" s="52">
        <v>247115.2</v>
      </c>
      <c r="I12" s="52">
        <v>137529.59999999989</v>
      </c>
      <c r="J12" s="52">
        <v>920390.40000000014</v>
      </c>
      <c r="K12" s="52">
        <v>395529.59999999986</v>
      </c>
      <c r="L12" s="52">
        <v>55511.400000000052</v>
      </c>
      <c r="M12" s="52">
        <v>499602.6</v>
      </c>
      <c r="N12" s="52">
        <v>229116.40000000005</v>
      </c>
      <c r="O12" s="52">
        <v>41462.900000000038</v>
      </c>
      <c r="P12" s="52">
        <v>373166.1</v>
      </c>
      <c r="Q12" s="52">
        <v>90437.900000000038</v>
      </c>
      <c r="R12" s="52">
        <v>119.56</v>
      </c>
      <c r="S12" s="52">
        <v>204.82</v>
      </c>
      <c r="T12" s="52">
        <v>120.53999999999999</v>
      </c>
      <c r="U12" s="52">
        <v>37.5</v>
      </c>
      <c r="V12" s="52">
        <v>61</v>
      </c>
      <c r="W12" s="52">
        <v>41.4</v>
      </c>
      <c r="X12" s="52">
        <v>70.8</v>
      </c>
      <c r="Y12" s="52">
        <v>4.5999999999999996</v>
      </c>
      <c r="Z12" s="52">
        <v>37.619999999999997</v>
      </c>
      <c r="AA12" s="52">
        <v>2.2999999999999998</v>
      </c>
      <c r="AB12" s="52">
        <v>17.099999999999998</v>
      </c>
      <c r="AC12" s="52">
        <v>0.73</v>
      </c>
      <c r="AD12" s="52">
        <v>0.32</v>
      </c>
      <c r="AE12" s="52">
        <v>0.36</v>
      </c>
      <c r="AF12" s="52">
        <v>0.82</v>
      </c>
      <c r="AG12" s="52">
        <v>0.18</v>
      </c>
      <c r="AH12" s="52">
        <v>0.28000000000000003</v>
      </c>
      <c r="AI12" s="52">
        <v>0.15</v>
      </c>
      <c r="AJ12" s="52">
        <v>0.28999999999999998</v>
      </c>
    </row>
    <row r="13" spans="1:36" ht="25" customHeight="1" x14ac:dyDescent="0.2">
      <c r="A13" s="51">
        <v>10</v>
      </c>
      <c r="B13" s="52">
        <v>7849497.5999999996</v>
      </c>
      <c r="C13" s="52">
        <v>6887059.2000000002</v>
      </c>
      <c r="D13" s="52">
        <v>3613794</v>
      </c>
      <c r="E13" s="52">
        <v>2699235.72</v>
      </c>
      <c r="F13" s="52">
        <v>48230.400000000045</v>
      </c>
      <c r="G13" s="52">
        <v>1157529.5999999999</v>
      </c>
      <c r="H13" s="52">
        <v>271230.40000000002</v>
      </c>
      <c r="I13" s="52">
        <v>116371.2000000001</v>
      </c>
      <c r="J13" s="52">
        <v>941548.79999999993</v>
      </c>
      <c r="K13" s="52">
        <v>374371.20000000007</v>
      </c>
      <c r="L13" s="52">
        <v>72164.819999999934</v>
      </c>
      <c r="M13" s="52">
        <v>482949.18000000005</v>
      </c>
      <c r="N13" s="52">
        <v>245769.81999999995</v>
      </c>
      <c r="O13" s="52">
        <v>24877.740000000023</v>
      </c>
      <c r="P13" s="52">
        <v>389751.25999999995</v>
      </c>
      <c r="Q13" s="52">
        <v>73852.74000000002</v>
      </c>
      <c r="R13" s="52">
        <v>93.94</v>
      </c>
      <c r="S13" s="52">
        <v>160.93</v>
      </c>
      <c r="T13" s="52">
        <v>94.710000000000008</v>
      </c>
      <c r="U13" s="52">
        <v>30.749999999999996</v>
      </c>
      <c r="V13" s="52">
        <v>50.019999999999996</v>
      </c>
      <c r="W13" s="52">
        <v>20.400000000000002</v>
      </c>
      <c r="X13" s="52">
        <v>45.6</v>
      </c>
      <c r="Y13" s="52">
        <v>3.92</v>
      </c>
      <c r="Z13" s="52">
        <v>36.630000000000003</v>
      </c>
      <c r="AA13" s="52">
        <v>1.96</v>
      </c>
      <c r="AB13" s="52">
        <v>16.650000000000002</v>
      </c>
      <c r="AC13" s="52">
        <v>0.76</v>
      </c>
      <c r="AD13" s="52">
        <v>0.16</v>
      </c>
      <c r="AE13" s="52">
        <v>0.14000000000000001</v>
      </c>
      <c r="AF13" s="52">
        <v>0.75</v>
      </c>
      <c r="AG13" s="52">
        <v>0.14000000000000001</v>
      </c>
      <c r="AH13" s="52">
        <v>0.31</v>
      </c>
      <c r="AI13" s="52">
        <v>0.12</v>
      </c>
      <c r="AJ13" s="52">
        <v>0.28000000000000003</v>
      </c>
    </row>
    <row r="14" spans="1:36" ht="25" customHeight="1" x14ac:dyDescent="0.2">
      <c r="A14" s="51">
        <v>11</v>
      </c>
      <c r="B14" s="52">
        <v>4874284.8</v>
      </c>
      <c r="C14" s="52">
        <v>4276641.6000000006</v>
      </c>
      <c r="D14" s="52">
        <v>2244049.5</v>
      </c>
      <c r="E14" s="52">
        <v>1676138.31</v>
      </c>
      <c r="F14" s="52">
        <v>590822.40000000002</v>
      </c>
      <c r="G14" s="52">
        <v>614937.59999999998</v>
      </c>
      <c r="H14" s="52">
        <v>813822.4</v>
      </c>
      <c r="I14" s="52">
        <v>253900.79999999999</v>
      </c>
      <c r="J14" s="52">
        <v>804019.19999999995</v>
      </c>
      <c r="K14" s="52">
        <v>511900.8</v>
      </c>
      <c r="L14" s="52">
        <v>77715.959999999948</v>
      </c>
      <c r="M14" s="52">
        <v>477398.04000000004</v>
      </c>
      <c r="N14" s="52">
        <v>251320.95999999996</v>
      </c>
      <c r="O14" s="52">
        <v>66340.63999999997</v>
      </c>
      <c r="P14" s="52">
        <v>348288.36000000004</v>
      </c>
      <c r="Q14" s="52">
        <v>115315.63999999997</v>
      </c>
      <c r="R14" s="52">
        <v>50.019999999999996</v>
      </c>
      <c r="S14" s="52">
        <v>85.69</v>
      </c>
      <c r="T14" s="52">
        <v>50.43</v>
      </c>
      <c r="U14" s="52">
        <v>35.25</v>
      </c>
      <c r="V14" s="52">
        <v>57.339999999999996</v>
      </c>
      <c r="W14" s="52">
        <v>19.8</v>
      </c>
      <c r="X14" s="52">
        <v>73.2</v>
      </c>
      <c r="Y14" s="52">
        <v>4.88</v>
      </c>
      <c r="Z14" s="52">
        <v>36.630000000000003</v>
      </c>
      <c r="AA14" s="52">
        <v>2.44</v>
      </c>
      <c r="AB14" s="52">
        <v>16.650000000000002</v>
      </c>
      <c r="AC14" s="52">
        <v>0.67</v>
      </c>
      <c r="AD14" s="52">
        <v>0.28999999999999998</v>
      </c>
      <c r="AE14" s="52">
        <v>0.35</v>
      </c>
      <c r="AF14" s="52">
        <v>0.65</v>
      </c>
      <c r="AG14" s="52">
        <v>0.26</v>
      </c>
      <c r="AH14" s="52">
        <v>0.18</v>
      </c>
      <c r="AI14" s="52">
        <v>0.15</v>
      </c>
      <c r="AJ14" s="52">
        <v>0.25</v>
      </c>
    </row>
    <row r="15" spans="1:36" ht="25" customHeight="1" x14ac:dyDescent="0.2">
      <c r="A15" s="51">
        <v>12</v>
      </c>
      <c r="B15" s="52">
        <v>7659590.3999999994</v>
      </c>
      <c r="C15" s="52">
        <v>6720436.7999999998</v>
      </c>
      <c r="D15" s="52">
        <v>3526363.5</v>
      </c>
      <c r="E15" s="52">
        <v>2633931.63</v>
      </c>
      <c r="F15" s="52">
        <v>590822.40000000002</v>
      </c>
      <c r="G15" s="52">
        <v>614937.59999999998</v>
      </c>
      <c r="H15" s="52">
        <v>813822.4</v>
      </c>
      <c r="I15" s="52">
        <v>137529.59999999989</v>
      </c>
      <c r="J15" s="52">
        <v>920390.40000000014</v>
      </c>
      <c r="K15" s="52">
        <v>395529.59999999986</v>
      </c>
      <c r="L15" s="52">
        <v>105471.65999999997</v>
      </c>
      <c r="M15" s="52">
        <v>449642.34</v>
      </c>
      <c r="N15" s="52">
        <v>279076.65999999997</v>
      </c>
      <c r="O15" s="52">
        <v>29024.030000000024</v>
      </c>
      <c r="P15" s="52">
        <v>385604.97</v>
      </c>
      <c r="Q15" s="52">
        <v>77999.030000000028</v>
      </c>
      <c r="R15" s="52">
        <v>48.800000000000004</v>
      </c>
      <c r="S15" s="52">
        <v>83.600000000000009</v>
      </c>
      <c r="T15" s="52">
        <v>49.2</v>
      </c>
      <c r="U15" s="52">
        <v>30</v>
      </c>
      <c r="V15" s="52">
        <v>48.800000000000004</v>
      </c>
      <c r="W15" s="52">
        <v>42</v>
      </c>
      <c r="X15" s="52">
        <v>60.6</v>
      </c>
      <c r="Y15" s="52">
        <v>4.08</v>
      </c>
      <c r="Z15" s="52">
        <v>34.32</v>
      </c>
      <c r="AA15" s="52">
        <v>2.04</v>
      </c>
      <c r="AB15" s="52">
        <v>15.600000000000001</v>
      </c>
      <c r="AC15" s="52">
        <v>0.87</v>
      </c>
      <c r="AD15" s="52">
        <v>0.18</v>
      </c>
      <c r="AE15" s="52">
        <v>0.19</v>
      </c>
      <c r="AF15" s="52">
        <v>0.67</v>
      </c>
      <c r="AG15" s="52">
        <v>0.3</v>
      </c>
      <c r="AH15" s="52">
        <v>0.18</v>
      </c>
      <c r="AI15" s="52">
        <v>0.19</v>
      </c>
      <c r="AJ15" s="52">
        <v>0.27</v>
      </c>
    </row>
    <row r="16" spans="1:36" ht="25" customHeight="1" x14ac:dyDescent="0.2">
      <c r="A16" s="51">
        <v>13</v>
      </c>
      <c r="B16" s="52">
        <v>6266937.5999999996</v>
      </c>
      <c r="C16" s="52">
        <v>5498539.2000000002</v>
      </c>
      <c r="D16" s="52">
        <v>2885206.5</v>
      </c>
      <c r="E16" s="52">
        <v>2155034.9700000002</v>
      </c>
      <c r="F16" s="52">
        <v>156748.79999999987</v>
      </c>
      <c r="G16" s="52">
        <v>1049011.2000000002</v>
      </c>
      <c r="H16" s="52">
        <v>379748.79999999987</v>
      </c>
      <c r="I16" s="52">
        <v>507801.59999999998</v>
      </c>
      <c r="J16" s="52">
        <v>550118.40000000002</v>
      </c>
      <c r="K16" s="52">
        <v>765801.6</v>
      </c>
      <c r="L16" s="52">
        <v>49960.260000000046</v>
      </c>
      <c r="M16" s="52">
        <v>505153.73999999993</v>
      </c>
      <c r="N16" s="52">
        <v>223565.26000000004</v>
      </c>
      <c r="O16" s="52">
        <v>82925.799999999988</v>
      </c>
      <c r="P16" s="52">
        <v>331703.2</v>
      </c>
      <c r="Q16" s="52">
        <v>131900.79999999999</v>
      </c>
      <c r="R16" s="52">
        <v>106.14</v>
      </c>
      <c r="S16" s="52">
        <v>181.83</v>
      </c>
      <c r="T16" s="52">
        <v>107.01</v>
      </c>
      <c r="U16" s="52">
        <v>45</v>
      </c>
      <c r="V16" s="52">
        <v>73.2</v>
      </c>
      <c r="W16" s="52">
        <v>35.4</v>
      </c>
      <c r="X16" s="52">
        <v>38.4</v>
      </c>
      <c r="Y16" s="52">
        <v>3.2</v>
      </c>
      <c r="Z16" s="52">
        <v>37.29</v>
      </c>
      <c r="AA16" s="52">
        <v>1.6</v>
      </c>
      <c r="AB16" s="52">
        <v>16.95</v>
      </c>
      <c r="AC16" s="52">
        <v>0.71</v>
      </c>
      <c r="AD16" s="52">
        <v>0.3</v>
      </c>
      <c r="AE16" s="52">
        <v>0.37</v>
      </c>
      <c r="AF16" s="52">
        <v>0.6</v>
      </c>
      <c r="AG16" s="52">
        <v>0.16</v>
      </c>
      <c r="AH16" s="52">
        <v>0.37</v>
      </c>
      <c r="AI16" s="52">
        <v>0.25</v>
      </c>
      <c r="AJ16" s="52">
        <v>0.16</v>
      </c>
    </row>
    <row r="17" spans="1:36" ht="25" customHeight="1" x14ac:dyDescent="0.2">
      <c r="A17" s="51">
        <v>14</v>
      </c>
      <c r="B17" s="52">
        <v>7153171.1999999993</v>
      </c>
      <c r="C17" s="52">
        <v>6276110.3999999994</v>
      </c>
      <c r="D17" s="52">
        <v>3293215.4999999995</v>
      </c>
      <c r="E17" s="52">
        <v>2459787.3899999997</v>
      </c>
      <c r="F17" s="52">
        <v>132633.60000000012</v>
      </c>
      <c r="G17" s="52">
        <v>1073126.3999999999</v>
      </c>
      <c r="H17" s="52">
        <v>355633.60000000009</v>
      </c>
      <c r="I17" s="52">
        <v>486643.19999999995</v>
      </c>
      <c r="J17" s="52">
        <v>571276.80000000005</v>
      </c>
      <c r="K17" s="52">
        <v>744643.2</v>
      </c>
      <c r="L17" s="52">
        <v>99920.51999999996</v>
      </c>
      <c r="M17" s="52">
        <v>455193.48000000004</v>
      </c>
      <c r="N17" s="52">
        <v>273525.51999999996</v>
      </c>
      <c r="O17" s="52">
        <v>16585.160000000014</v>
      </c>
      <c r="P17" s="52">
        <v>398043.83999999997</v>
      </c>
      <c r="Q17" s="52">
        <v>65560.160000000018</v>
      </c>
      <c r="R17" s="52">
        <v>74.42</v>
      </c>
      <c r="S17" s="52">
        <v>127.49</v>
      </c>
      <c r="T17" s="52">
        <v>75.03</v>
      </c>
      <c r="U17" s="52">
        <v>46.5</v>
      </c>
      <c r="V17" s="52">
        <v>75.64</v>
      </c>
      <c r="W17" s="52">
        <v>23.700000000000003</v>
      </c>
      <c r="X17" s="52">
        <v>79.800000000000011</v>
      </c>
      <c r="Y17" s="52">
        <v>3.44</v>
      </c>
      <c r="Z17" s="52">
        <v>35.970000000000006</v>
      </c>
      <c r="AA17" s="52">
        <v>1.72</v>
      </c>
      <c r="AB17" s="52">
        <v>16.350000000000001</v>
      </c>
      <c r="AC17" s="52">
        <v>0.76</v>
      </c>
      <c r="AD17" s="52">
        <v>0.16</v>
      </c>
      <c r="AE17" s="52">
        <v>0.22</v>
      </c>
      <c r="AF17" s="52">
        <v>0.6</v>
      </c>
      <c r="AG17" s="52">
        <v>0.2</v>
      </c>
      <c r="AH17" s="52">
        <v>0.35</v>
      </c>
      <c r="AI17" s="52">
        <v>0.28999999999999998</v>
      </c>
      <c r="AJ17" s="52">
        <v>0.17</v>
      </c>
    </row>
    <row r="18" spans="1:36" ht="25" customHeight="1" x14ac:dyDescent="0.2">
      <c r="A18" s="51">
        <v>15</v>
      </c>
      <c r="B18" s="52">
        <v>5570611.2000000002</v>
      </c>
      <c r="C18" s="52">
        <v>4887590.4000000004</v>
      </c>
      <c r="D18" s="52">
        <v>2564628</v>
      </c>
      <c r="E18" s="52">
        <v>1915586.64</v>
      </c>
      <c r="F18" s="52">
        <v>313497.60000000003</v>
      </c>
      <c r="G18" s="52">
        <v>892262.39999999991</v>
      </c>
      <c r="H18" s="52">
        <v>536497.60000000009</v>
      </c>
      <c r="I18" s="52">
        <v>518380.79999999999</v>
      </c>
      <c r="J18" s="52">
        <v>539539.19999999995</v>
      </c>
      <c r="K18" s="52">
        <v>776380.8</v>
      </c>
      <c r="L18" s="52">
        <v>61062.540000000052</v>
      </c>
      <c r="M18" s="52">
        <v>494051.45999999996</v>
      </c>
      <c r="N18" s="52">
        <v>234667.54000000004</v>
      </c>
      <c r="O18" s="52">
        <v>95364.67</v>
      </c>
      <c r="P18" s="52">
        <v>319264.33</v>
      </c>
      <c r="Q18" s="52">
        <v>144339.66999999998</v>
      </c>
      <c r="R18" s="52">
        <v>40.260000000000005</v>
      </c>
      <c r="S18" s="52">
        <v>68.97</v>
      </c>
      <c r="T18" s="52">
        <v>40.590000000000003</v>
      </c>
      <c r="U18" s="52">
        <v>27</v>
      </c>
      <c r="V18" s="52">
        <v>43.92</v>
      </c>
      <c r="W18" s="52">
        <v>23.1</v>
      </c>
      <c r="X18" s="52">
        <v>37.799999999999997</v>
      </c>
      <c r="Y18" s="52">
        <v>3.16</v>
      </c>
      <c r="Z18" s="52">
        <v>34.980000000000004</v>
      </c>
      <c r="AA18" s="52">
        <v>1.58</v>
      </c>
      <c r="AB18" s="52">
        <v>15.9</v>
      </c>
      <c r="AC18" s="52">
        <v>0.64</v>
      </c>
      <c r="AD18" s="52">
        <v>0.4</v>
      </c>
      <c r="AE18" s="52">
        <v>0.34</v>
      </c>
      <c r="AF18" s="52">
        <v>0.85</v>
      </c>
      <c r="AG18" s="52">
        <v>0.33</v>
      </c>
      <c r="AH18" s="52">
        <v>0.17</v>
      </c>
      <c r="AI18" s="52">
        <v>0.2</v>
      </c>
      <c r="AJ18" s="52">
        <v>0.16</v>
      </c>
    </row>
    <row r="19" spans="1:36" ht="25" customHeight="1" x14ac:dyDescent="0.2">
      <c r="A19" s="51">
        <v>16</v>
      </c>
      <c r="B19" s="52">
        <v>7216473.5999999996</v>
      </c>
      <c r="C19" s="52">
        <v>6331651.1999999993</v>
      </c>
      <c r="D19" s="52">
        <v>3322358.9999999995</v>
      </c>
      <c r="E19" s="52">
        <v>2481555.42</v>
      </c>
      <c r="F19" s="52">
        <v>458188.79999999987</v>
      </c>
      <c r="G19" s="52">
        <v>747571.20000000019</v>
      </c>
      <c r="H19" s="52">
        <v>681188.79999999981</v>
      </c>
      <c r="I19" s="52">
        <v>518380.79999999999</v>
      </c>
      <c r="J19" s="52">
        <v>539539.19999999995</v>
      </c>
      <c r="K19" s="52">
        <v>776380.8</v>
      </c>
      <c r="L19" s="52">
        <v>11102.28000000001</v>
      </c>
      <c r="M19" s="52">
        <v>544011.72</v>
      </c>
      <c r="N19" s="52">
        <v>184707.28</v>
      </c>
      <c r="O19" s="52">
        <v>37316.61000000003</v>
      </c>
      <c r="P19" s="52">
        <v>377312.38999999996</v>
      </c>
      <c r="Q19" s="52">
        <v>86291.61000000003</v>
      </c>
      <c r="R19" s="52">
        <v>64.66</v>
      </c>
      <c r="S19" s="52">
        <v>110.77000000000001</v>
      </c>
      <c r="T19" s="52">
        <v>65.19</v>
      </c>
      <c r="U19" s="52">
        <v>51.000000000000007</v>
      </c>
      <c r="V19" s="52">
        <v>82.960000000000008</v>
      </c>
      <c r="W19" s="52">
        <v>30.3</v>
      </c>
      <c r="X19" s="52">
        <v>82.8</v>
      </c>
      <c r="Y19" s="52">
        <v>3.16</v>
      </c>
      <c r="Z19" s="52">
        <v>40.92</v>
      </c>
      <c r="AA19" s="52">
        <v>1.58</v>
      </c>
      <c r="AB19" s="52">
        <v>18.600000000000001</v>
      </c>
      <c r="AC19" s="52">
        <v>0.82</v>
      </c>
      <c r="AD19" s="52">
        <v>0.17</v>
      </c>
      <c r="AE19" s="52">
        <v>0.23</v>
      </c>
      <c r="AF19" s="52">
        <v>0.89</v>
      </c>
      <c r="AG19" s="52">
        <v>0.28999999999999998</v>
      </c>
      <c r="AH19" s="52">
        <v>0.2</v>
      </c>
      <c r="AI19" s="52">
        <v>0.22</v>
      </c>
      <c r="AJ19" s="52">
        <v>0.15</v>
      </c>
    </row>
    <row r="20" spans="1:36" ht="25" customHeight="1" x14ac:dyDescent="0.2">
      <c r="A20" s="51">
        <v>17</v>
      </c>
      <c r="B20" s="52">
        <v>5444006.4000000004</v>
      </c>
      <c r="C20" s="52">
        <v>4776508.8</v>
      </c>
      <c r="D20" s="52">
        <v>2506341</v>
      </c>
      <c r="E20" s="52">
        <v>1872050.58</v>
      </c>
      <c r="F20" s="52">
        <v>108518.4000000001</v>
      </c>
      <c r="G20" s="52">
        <v>1097241.5999999999</v>
      </c>
      <c r="H20" s="52">
        <v>331518.40000000008</v>
      </c>
      <c r="I20" s="52">
        <v>105792.00000000009</v>
      </c>
      <c r="J20" s="52">
        <v>952127.99999999988</v>
      </c>
      <c r="K20" s="52">
        <v>363792.00000000012</v>
      </c>
      <c r="L20" s="52">
        <v>205392.18000000005</v>
      </c>
      <c r="M20" s="52">
        <v>349721.81999999995</v>
      </c>
      <c r="N20" s="52">
        <v>378997.18000000005</v>
      </c>
      <c r="O20" s="52">
        <v>8292.5800000000072</v>
      </c>
      <c r="P20" s="52">
        <v>406336.42</v>
      </c>
      <c r="Q20" s="52">
        <v>57267.580000000009</v>
      </c>
      <c r="R20" s="52">
        <v>112.24000000000001</v>
      </c>
      <c r="S20" s="52">
        <v>192.28</v>
      </c>
      <c r="T20" s="52">
        <v>113.16000000000001</v>
      </c>
      <c r="U20" s="52">
        <v>65.25</v>
      </c>
      <c r="V20" s="52">
        <v>106.14</v>
      </c>
      <c r="W20" s="52">
        <v>34.799999999999997</v>
      </c>
      <c r="X20" s="52">
        <v>69</v>
      </c>
      <c r="Y20" s="52">
        <v>4.5599999999999996</v>
      </c>
      <c r="Z20" s="52">
        <v>26.07</v>
      </c>
      <c r="AA20" s="52">
        <v>2.2799999999999998</v>
      </c>
      <c r="AB20" s="52">
        <v>11.850000000000001</v>
      </c>
      <c r="AC20" s="52">
        <v>0.75</v>
      </c>
      <c r="AD20" s="52">
        <v>0.16</v>
      </c>
      <c r="AE20" s="52">
        <v>0.28000000000000003</v>
      </c>
      <c r="AF20" s="52">
        <v>0.79</v>
      </c>
      <c r="AG20" s="52">
        <v>0.28000000000000003</v>
      </c>
      <c r="AH20" s="52">
        <v>0.16</v>
      </c>
      <c r="AI20" s="52">
        <v>0.3</v>
      </c>
      <c r="AJ20" s="52">
        <v>0.11</v>
      </c>
    </row>
    <row r="21" spans="1:36" ht="25" customHeight="1" x14ac:dyDescent="0.2">
      <c r="A21" s="51">
        <v>18</v>
      </c>
      <c r="B21" s="52">
        <v>7786195.2000000002</v>
      </c>
      <c r="C21" s="52">
        <v>6831518.3999999994</v>
      </c>
      <c r="D21" s="52">
        <v>3584650.5</v>
      </c>
      <c r="E21" s="52">
        <v>2677467.69</v>
      </c>
      <c r="F21" s="52">
        <v>217036.79999999993</v>
      </c>
      <c r="G21" s="52">
        <v>988723.20000000007</v>
      </c>
      <c r="H21" s="52">
        <v>440036.79999999993</v>
      </c>
      <c r="I21" s="52">
        <v>137529.59999999989</v>
      </c>
      <c r="J21" s="52">
        <v>920390.40000000014</v>
      </c>
      <c r="K21" s="52">
        <v>395529.59999999986</v>
      </c>
      <c r="L21" s="52">
        <v>216494.45999999993</v>
      </c>
      <c r="M21" s="52">
        <v>338619.54000000004</v>
      </c>
      <c r="N21" s="52">
        <v>390099.45999999996</v>
      </c>
      <c r="O21" s="52">
        <v>87072.089999999982</v>
      </c>
      <c r="P21" s="52">
        <v>327556.91000000003</v>
      </c>
      <c r="Q21" s="52">
        <v>136047.08999999997</v>
      </c>
      <c r="R21" s="52">
        <v>101.25999999999999</v>
      </c>
      <c r="S21" s="52">
        <v>173.47</v>
      </c>
      <c r="T21" s="52">
        <v>102.08999999999999</v>
      </c>
      <c r="U21" s="52">
        <v>72</v>
      </c>
      <c r="V21" s="52">
        <v>117.11999999999999</v>
      </c>
      <c r="W21" s="52">
        <v>22.8</v>
      </c>
      <c r="X21" s="52">
        <v>43.199999999999996</v>
      </c>
      <c r="Y21" s="52">
        <v>4.3600000000000003</v>
      </c>
      <c r="Z21" s="52">
        <v>32.67</v>
      </c>
      <c r="AA21" s="52">
        <v>2.1800000000000002</v>
      </c>
      <c r="AB21" s="52">
        <v>14.85</v>
      </c>
      <c r="AC21" s="52">
        <v>0.74</v>
      </c>
      <c r="AD21" s="52">
        <v>0.32</v>
      </c>
      <c r="AE21" s="52">
        <v>0.11</v>
      </c>
      <c r="AF21" s="52">
        <v>0.78</v>
      </c>
      <c r="AG21" s="52">
        <v>0.32</v>
      </c>
      <c r="AH21" s="52">
        <v>0.23</v>
      </c>
      <c r="AI21" s="52">
        <v>0.22</v>
      </c>
      <c r="AJ21" s="52">
        <v>0.12</v>
      </c>
    </row>
    <row r="22" spans="1:36" ht="25" customHeight="1" x14ac:dyDescent="0.2">
      <c r="A22" s="51">
        <v>19</v>
      </c>
      <c r="B22" s="52">
        <v>5317401.5999999996</v>
      </c>
      <c r="C22" s="52">
        <v>4665427.2</v>
      </c>
      <c r="D22" s="52">
        <v>2448054</v>
      </c>
      <c r="E22" s="52">
        <v>1828514.52</v>
      </c>
      <c r="F22" s="52">
        <v>470246.39999999991</v>
      </c>
      <c r="G22" s="52">
        <v>735513.60000000009</v>
      </c>
      <c r="H22" s="52">
        <v>693246.39999999991</v>
      </c>
      <c r="I22" s="52">
        <v>148108.7999999999</v>
      </c>
      <c r="J22" s="52">
        <v>909811.20000000007</v>
      </c>
      <c r="K22" s="52">
        <v>406108.79999999993</v>
      </c>
      <c r="L22" s="52">
        <v>144329.64000000001</v>
      </c>
      <c r="M22" s="52">
        <v>410784.36</v>
      </c>
      <c r="N22" s="52">
        <v>317934.64</v>
      </c>
      <c r="O22" s="52">
        <v>45609.190000000039</v>
      </c>
      <c r="P22" s="52">
        <v>369019.80999999994</v>
      </c>
      <c r="Q22" s="52">
        <v>94584.190000000031</v>
      </c>
      <c r="R22" s="52">
        <v>68.320000000000007</v>
      </c>
      <c r="S22" s="52">
        <v>117.04</v>
      </c>
      <c r="T22" s="52">
        <v>68.88000000000001</v>
      </c>
      <c r="U22" s="52">
        <v>40.5</v>
      </c>
      <c r="V22" s="52">
        <v>65.88000000000001</v>
      </c>
      <c r="W22" s="52">
        <v>18.899999999999999</v>
      </c>
      <c r="X22" s="52">
        <v>68.399999999999991</v>
      </c>
      <c r="Y22" s="52">
        <v>4.3600000000000003</v>
      </c>
      <c r="Z22" s="52">
        <v>25.740000000000002</v>
      </c>
      <c r="AA22" s="52">
        <v>2.1800000000000002</v>
      </c>
      <c r="AB22" s="52">
        <v>11.700000000000001</v>
      </c>
      <c r="AC22" s="52">
        <v>0.76</v>
      </c>
      <c r="AD22" s="52">
        <v>0.17</v>
      </c>
      <c r="AE22" s="52">
        <v>0.38</v>
      </c>
      <c r="AF22" s="52">
        <v>0.69</v>
      </c>
      <c r="AG22" s="52">
        <v>0.25</v>
      </c>
      <c r="AH22" s="52">
        <v>0.31</v>
      </c>
      <c r="AI22" s="52">
        <v>0.28999999999999998</v>
      </c>
      <c r="AJ22" s="52">
        <v>0.11</v>
      </c>
    </row>
    <row r="23" spans="1:36" ht="25" customHeight="1" x14ac:dyDescent="0.2">
      <c r="A23" s="51">
        <v>20</v>
      </c>
      <c r="B23" s="52">
        <v>6773356.8000000007</v>
      </c>
      <c r="C23" s="52">
        <v>5942865.6000000006</v>
      </c>
      <c r="D23" s="52">
        <v>3118354.5</v>
      </c>
      <c r="E23" s="52">
        <v>2329179.21</v>
      </c>
      <c r="F23" s="52">
        <v>578764.79999999993</v>
      </c>
      <c r="G23" s="52">
        <v>626995.20000000007</v>
      </c>
      <c r="H23" s="52">
        <v>801764.79999999993</v>
      </c>
      <c r="I23" s="52">
        <v>201004.79999999993</v>
      </c>
      <c r="J23" s="52">
        <v>856915.20000000007</v>
      </c>
      <c r="K23" s="52">
        <v>459004.79999999993</v>
      </c>
      <c r="L23" s="52">
        <v>210943.31999999995</v>
      </c>
      <c r="M23" s="52">
        <v>344170.68000000005</v>
      </c>
      <c r="N23" s="52">
        <v>384548.31999999995</v>
      </c>
      <c r="O23" s="52">
        <v>24877.740000000023</v>
      </c>
      <c r="P23" s="52">
        <v>389751.25999999995</v>
      </c>
      <c r="Q23" s="52">
        <v>73852.74000000002</v>
      </c>
      <c r="R23" s="52">
        <v>35.379999999999995</v>
      </c>
      <c r="S23" s="52">
        <v>60.609999999999992</v>
      </c>
      <c r="T23" s="52">
        <v>35.669999999999995</v>
      </c>
      <c r="U23" s="52">
        <v>48</v>
      </c>
      <c r="V23" s="52">
        <v>78.08</v>
      </c>
      <c r="W23" s="52">
        <v>37.200000000000003</v>
      </c>
      <c r="X23" s="52">
        <v>52.8</v>
      </c>
      <c r="Y23" s="52">
        <v>4.2</v>
      </c>
      <c r="Z23" s="52">
        <v>30.69</v>
      </c>
      <c r="AA23" s="52">
        <v>2.1</v>
      </c>
      <c r="AB23" s="52">
        <v>13.950000000000001</v>
      </c>
      <c r="AC23" s="52">
        <v>0.65</v>
      </c>
      <c r="AD23" s="52">
        <v>0.26</v>
      </c>
      <c r="AE23" s="52">
        <v>0.17</v>
      </c>
      <c r="AF23" s="52">
        <v>0.62</v>
      </c>
      <c r="AG23" s="52">
        <v>0.24</v>
      </c>
      <c r="AH23" s="52">
        <v>0.3</v>
      </c>
      <c r="AI23" s="52">
        <v>0.22</v>
      </c>
      <c r="AJ23" s="52">
        <v>0.1</v>
      </c>
    </row>
    <row r="24" spans="1:36" ht="25" customHeight="1" x14ac:dyDescent="0.2">
      <c r="A24" s="51">
        <v>21</v>
      </c>
      <c r="B24" s="52">
        <v>5633913.5999999996</v>
      </c>
      <c r="C24" s="52">
        <v>4943131.2</v>
      </c>
      <c r="D24" s="52">
        <v>2593771.5</v>
      </c>
      <c r="E24" s="52">
        <v>1937354.67</v>
      </c>
      <c r="F24" s="52">
        <v>120576.0000000001</v>
      </c>
      <c r="G24" s="52">
        <v>1085184</v>
      </c>
      <c r="H24" s="52">
        <v>343576.00000000012</v>
      </c>
      <c r="I24" s="52">
        <v>433747.1999999999</v>
      </c>
      <c r="J24" s="52">
        <v>624172.80000000005</v>
      </c>
      <c r="K24" s="52">
        <v>691747.2</v>
      </c>
      <c r="L24" s="52">
        <v>266454.71999999997</v>
      </c>
      <c r="M24" s="52">
        <v>288659.28000000003</v>
      </c>
      <c r="N24" s="52">
        <v>440059.72</v>
      </c>
      <c r="O24" s="52">
        <v>103657.25</v>
      </c>
      <c r="P24" s="52">
        <v>310971.75</v>
      </c>
      <c r="Q24" s="52">
        <v>152632.25</v>
      </c>
      <c r="R24" s="52">
        <v>91.5</v>
      </c>
      <c r="S24" s="52">
        <v>156.75</v>
      </c>
      <c r="T24" s="52">
        <v>92.25</v>
      </c>
      <c r="U24" s="52">
        <v>74.25</v>
      </c>
      <c r="V24" s="52">
        <v>120.78</v>
      </c>
      <c r="W24" s="52">
        <v>33.9</v>
      </c>
      <c r="X24" s="52">
        <v>50.4</v>
      </c>
      <c r="Y24" s="52">
        <v>3.16</v>
      </c>
      <c r="Z24" s="52">
        <v>26.400000000000002</v>
      </c>
      <c r="AA24" s="52">
        <v>1.58</v>
      </c>
      <c r="AB24" s="52">
        <v>12</v>
      </c>
      <c r="AC24" s="52">
        <v>0.9</v>
      </c>
      <c r="AD24" s="52">
        <v>0.13</v>
      </c>
      <c r="AE24" s="52">
        <v>0.28999999999999998</v>
      </c>
      <c r="AF24" s="52">
        <v>0.65</v>
      </c>
      <c r="AG24" s="52">
        <v>0.39</v>
      </c>
      <c r="AH24" s="52">
        <v>0.1</v>
      </c>
      <c r="AI24" s="52">
        <v>0.19</v>
      </c>
      <c r="AJ24" s="52">
        <v>0.26</v>
      </c>
    </row>
    <row r="25" spans="1:36" ht="25" customHeight="1" x14ac:dyDescent="0.2">
      <c r="A25" s="51">
        <v>22</v>
      </c>
      <c r="B25" s="52">
        <v>6710054.4000000004</v>
      </c>
      <c r="C25" s="52">
        <v>5887324.8000000007</v>
      </c>
      <c r="D25" s="52">
        <v>3089211</v>
      </c>
      <c r="E25" s="52">
        <v>2307411.1800000002</v>
      </c>
      <c r="F25" s="52">
        <v>156748.79999999987</v>
      </c>
      <c r="G25" s="52">
        <v>1049011.2000000002</v>
      </c>
      <c r="H25" s="52">
        <v>379748.79999999987</v>
      </c>
      <c r="I25" s="52">
        <v>338534.40000000008</v>
      </c>
      <c r="J25" s="52">
        <v>719385.59999999986</v>
      </c>
      <c r="K25" s="52">
        <v>596534.40000000014</v>
      </c>
      <c r="L25" s="52">
        <v>255352.43999999997</v>
      </c>
      <c r="M25" s="52">
        <v>299761.56000000006</v>
      </c>
      <c r="N25" s="52">
        <v>428957.43999999994</v>
      </c>
      <c r="O25" s="52">
        <v>78779.50999999998</v>
      </c>
      <c r="P25" s="52">
        <v>335849.49</v>
      </c>
      <c r="Q25" s="52">
        <v>127754.50999999998</v>
      </c>
      <c r="R25" s="52">
        <v>86.61999999999999</v>
      </c>
      <c r="S25" s="52">
        <v>148.38999999999999</v>
      </c>
      <c r="T25" s="52">
        <v>87.33</v>
      </c>
      <c r="U25" s="52">
        <v>68.25</v>
      </c>
      <c r="V25" s="52">
        <v>111.02000000000001</v>
      </c>
      <c r="W25" s="52">
        <v>21</v>
      </c>
      <c r="X25" s="52">
        <v>77.400000000000006</v>
      </c>
      <c r="Y25" s="52">
        <v>3.76</v>
      </c>
      <c r="Z25" s="52">
        <v>27.72</v>
      </c>
      <c r="AA25" s="52">
        <v>1.88</v>
      </c>
      <c r="AB25" s="52">
        <v>12.6</v>
      </c>
      <c r="AC25" s="52">
        <v>0.68</v>
      </c>
      <c r="AD25" s="52">
        <v>0.39</v>
      </c>
      <c r="AE25" s="52">
        <v>0.27</v>
      </c>
      <c r="AF25" s="52">
        <v>0.61</v>
      </c>
      <c r="AG25" s="52">
        <v>0.27</v>
      </c>
      <c r="AH25" s="52">
        <v>0.1</v>
      </c>
      <c r="AI25" s="52">
        <v>0.13</v>
      </c>
      <c r="AJ25" s="52">
        <v>0.21</v>
      </c>
    </row>
    <row r="26" spans="1:36" ht="25" customHeight="1" x14ac:dyDescent="0.2">
      <c r="A26" s="51">
        <v>23</v>
      </c>
      <c r="B26" s="52">
        <v>5380704</v>
      </c>
      <c r="C26" s="52">
        <v>4720968</v>
      </c>
      <c r="D26" s="52">
        <v>2477197.5</v>
      </c>
      <c r="E26" s="52">
        <v>1850282.55</v>
      </c>
      <c r="F26" s="52">
        <v>434073.60000000009</v>
      </c>
      <c r="G26" s="52">
        <v>771686.39999999991</v>
      </c>
      <c r="H26" s="52">
        <v>657073.60000000009</v>
      </c>
      <c r="I26" s="52">
        <v>412588.79999999987</v>
      </c>
      <c r="J26" s="52">
        <v>645331.20000000019</v>
      </c>
      <c r="K26" s="52">
        <v>670588.79999999981</v>
      </c>
      <c r="L26" s="52">
        <v>272005.86</v>
      </c>
      <c r="M26" s="52">
        <v>283108.14</v>
      </c>
      <c r="N26" s="52">
        <v>445610.86</v>
      </c>
      <c r="O26" s="52">
        <v>66340.63999999997</v>
      </c>
      <c r="P26" s="52">
        <v>348288.36000000004</v>
      </c>
      <c r="Q26" s="52">
        <v>115315.63999999997</v>
      </c>
      <c r="R26" s="52">
        <v>53.68</v>
      </c>
      <c r="S26" s="52">
        <v>91.96</v>
      </c>
      <c r="T26" s="52">
        <v>54.12</v>
      </c>
      <c r="U26" s="52">
        <v>64.5</v>
      </c>
      <c r="V26" s="52">
        <v>104.92</v>
      </c>
      <c r="W26" s="52">
        <v>26.4</v>
      </c>
      <c r="X26" s="52">
        <v>38.4</v>
      </c>
      <c r="Y26" s="52">
        <v>4.08</v>
      </c>
      <c r="Z26" s="52">
        <v>27.389999999999997</v>
      </c>
      <c r="AA26" s="52">
        <v>2.04</v>
      </c>
      <c r="AB26" s="52">
        <v>12.45</v>
      </c>
      <c r="AC26" s="52">
        <v>0.88</v>
      </c>
      <c r="AD26" s="52">
        <v>0.11</v>
      </c>
      <c r="AE26" s="52">
        <v>0.36</v>
      </c>
      <c r="AF26" s="52">
        <v>0.84</v>
      </c>
      <c r="AG26" s="52">
        <v>0.11</v>
      </c>
      <c r="AH26" s="52">
        <v>0.37</v>
      </c>
      <c r="AI26" s="52">
        <v>0.18</v>
      </c>
      <c r="AJ26" s="52">
        <v>0.26</v>
      </c>
    </row>
    <row r="27" spans="1:36" ht="25" customHeight="1" x14ac:dyDescent="0.2">
      <c r="A27" s="51">
        <v>24</v>
      </c>
      <c r="B27" s="52">
        <v>7089868.8000000007</v>
      </c>
      <c r="C27" s="52">
        <v>6220569.6000000006</v>
      </c>
      <c r="D27" s="52">
        <v>3264072.0000000005</v>
      </c>
      <c r="E27" s="52">
        <v>2438019.3600000003</v>
      </c>
      <c r="F27" s="52">
        <v>373785.60000000009</v>
      </c>
      <c r="G27" s="52">
        <v>831974.39999999991</v>
      </c>
      <c r="H27" s="52">
        <v>596785.60000000009</v>
      </c>
      <c r="I27" s="52">
        <v>507801.59999999998</v>
      </c>
      <c r="J27" s="52">
        <v>550118.40000000002</v>
      </c>
      <c r="K27" s="52">
        <v>765801.6</v>
      </c>
      <c r="L27" s="52">
        <v>272005.86</v>
      </c>
      <c r="M27" s="52">
        <v>283108.14</v>
      </c>
      <c r="N27" s="52">
        <v>445610.86</v>
      </c>
      <c r="O27" s="52">
        <v>37316.61000000003</v>
      </c>
      <c r="P27" s="52">
        <v>377312.38999999996</v>
      </c>
      <c r="Q27" s="52">
        <v>86291.61000000003</v>
      </c>
      <c r="R27" s="52">
        <v>70.759999999999991</v>
      </c>
      <c r="S27" s="52">
        <v>121.21999999999998</v>
      </c>
      <c r="T27" s="52">
        <v>71.339999999999989</v>
      </c>
      <c r="U27" s="52">
        <v>54.75</v>
      </c>
      <c r="V27" s="52">
        <v>89.06</v>
      </c>
      <c r="W27" s="52">
        <v>33</v>
      </c>
      <c r="X27" s="52">
        <v>75</v>
      </c>
      <c r="Y27" s="52">
        <v>3.48</v>
      </c>
      <c r="Z27" s="52">
        <v>25.080000000000002</v>
      </c>
      <c r="AA27" s="52">
        <v>1.74</v>
      </c>
      <c r="AB27" s="52">
        <v>11.4</v>
      </c>
      <c r="AC27" s="52">
        <v>0.68</v>
      </c>
      <c r="AD27" s="52">
        <v>0.4</v>
      </c>
      <c r="AE27" s="52">
        <v>0.22</v>
      </c>
      <c r="AF27" s="52">
        <v>0.79</v>
      </c>
      <c r="AG27" s="52">
        <v>0.14000000000000001</v>
      </c>
      <c r="AH27" s="52">
        <v>0.38</v>
      </c>
      <c r="AI27" s="52">
        <v>0.16</v>
      </c>
      <c r="AJ27" s="52">
        <v>0.23</v>
      </c>
    </row>
    <row r="28" spans="1:36" ht="25" customHeight="1" x14ac:dyDescent="0.2">
      <c r="A28" s="51">
        <v>25</v>
      </c>
      <c r="B28" s="52">
        <v>5633913.5999999996</v>
      </c>
      <c r="C28" s="52">
        <v>4943131.2</v>
      </c>
      <c r="D28" s="52">
        <v>2593771.5</v>
      </c>
      <c r="E28" s="52">
        <v>1937354.67</v>
      </c>
      <c r="F28" s="52">
        <v>144691.20000000013</v>
      </c>
      <c r="G28" s="52">
        <v>1061068.7999999998</v>
      </c>
      <c r="H28" s="52">
        <v>367691.20000000013</v>
      </c>
      <c r="I28" s="52">
        <v>243321.59999999998</v>
      </c>
      <c r="J28" s="52">
        <v>814598.4</v>
      </c>
      <c r="K28" s="52">
        <v>501321.6</v>
      </c>
      <c r="L28" s="52">
        <v>166534.20000000001</v>
      </c>
      <c r="M28" s="52">
        <v>388579.8</v>
      </c>
      <c r="N28" s="52">
        <v>340139.2</v>
      </c>
      <c r="O28" s="52">
        <v>66340.63999999997</v>
      </c>
      <c r="P28" s="52">
        <v>348288.36000000004</v>
      </c>
      <c r="Q28" s="52">
        <v>115315.63999999997</v>
      </c>
      <c r="R28" s="52">
        <v>114.67999999999999</v>
      </c>
      <c r="S28" s="52">
        <v>196.45999999999998</v>
      </c>
      <c r="T28" s="52">
        <v>115.61999999999999</v>
      </c>
      <c r="U28" s="52">
        <v>26.25</v>
      </c>
      <c r="V28" s="52">
        <v>42.699999999999996</v>
      </c>
      <c r="W28" s="52">
        <v>41.699999999999996</v>
      </c>
      <c r="X28" s="52">
        <v>58.8</v>
      </c>
      <c r="Y28" s="52">
        <v>4.6399999999999997</v>
      </c>
      <c r="Z28" s="52">
        <v>30.360000000000003</v>
      </c>
      <c r="AA28" s="52">
        <v>2.3199999999999998</v>
      </c>
      <c r="AB28" s="52">
        <v>13.8</v>
      </c>
      <c r="AC28" s="52">
        <v>0.68</v>
      </c>
      <c r="AD28" s="52">
        <v>0.23</v>
      </c>
      <c r="AE28" s="52">
        <v>0.35</v>
      </c>
      <c r="AF28" s="52">
        <v>0.76</v>
      </c>
      <c r="AG28" s="52">
        <v>0.23</v>
      </c>
      <c r="AH28" s="52">
        <v>0.18</v>
      </c>
      <c r="AI28" s="52">
        <v>0.12</v>
      </c>
      <c r="AJ28" s="52">
        <v>0.11</v>
      </c>
    </row>
    <row r="29" spans="1:36" ht="25" customHeight="1" x14ac:dyDescent="0.2">
      <c r="A29" s="51">
        <v>26</v>
      </c>
      <c r="B29" s="52">
        <v>7722892.7999999998</v>
      </c>
      <c r="C29" s="52">
        <v>6775977.5999999996</v>
      </c>
      <c r="D29" s="52">
        <v>3555507</v>
      </c>
      <c r="E29" s="52">
        <v>2655699.66</v>
      </c>
      <c r="F29" s="52">
        <v>0</v>
      </c>
      <c r="G29" s="52">
        <v>1205760</v>
      </c>
      <c r="H29" s="52">
        <v>223000</v>
      </c>
      <c r="I29" s="52">
        <v>243321.59999999998</v>
      </c>
      <c r="J29" s="52">
        <v>814598.4</v>
      </c>
      <c r="K29" s="52">
        <v>501321.6</v>
      </c>
      <c r="L29" s="52">
        <v>160983.06000000003</v>
      </c>
      <c r="M29" s="52">
        <v>394130.93999999994</v>
      </c>
      <c r="N29" s="52">
        <v>334588.06000000006</v>
      </c>
      <c r="O29" s="52">
        <v>29024.030000000024</v>
      </c>
      <c r="P29" s="52">
        <v>385604.97</v>
      </c>
      <c r="Q29" s="52">
        <v>77999.030000000028</v>
      </c>
      <c r="R29" s="52">
        <v>115.89999999999999</v>
      </c>
      <c r="S29" s="52">
        <v>198.54999999999998</v>
      </c>
      <c r="T29" s="52">
        <v>116.85</v>
      </c>
      <c r="U29" s="52">
        <v>39.75</v>
      </c>
      <c r="V29" s="52">
        <v>64.66</v>
      </c>
      <c r="W29" s="52">
        <v>24.9</v>
      </c>
      <c r="X29" s="52">
        <v>54.6</v>
      </c>
      <c r="Y29" s="52">
        <v>4.8</v>
      </c>
      <c r="Z29" s="52">
        <v>27.06</v>
      </c>
      <c r="AA29" s="52">
        <v>2.4</v>
      </c>
      <c r="AB29" s="52">
        <v>12.299999999999999</v>
      </c>
      <c r="AC29" s="52">
        <v>0.84</v>
      </c>
      <c r="AD29" s="52">
        <v>0.28999999999999998</v>
      </c>
      <c r="AE29" s="52">
        <v>0.19</v>
      </c>
      <c r="AF29" s="52">
        <v>0.8</v>
      </c>
      <c r="AG29" s="52">
        <v>0.2</v>
      </c>
      <c r="AH29" s="52">
        <v>0.11</v>
      </c>
      <c r="AI29" s="52">
        <v>0.14000000000000001</v>
      </c>
      <c r="AJ29" s="52">
        <v>0.18</v>
      </c>
    </row>
    <row r="30" spans="1:36" ht="25" customHeight="1" x14ac:dyDescent="0.2">
      <c r="A30" s="51">
        <v>27</v>
      </c>
      <c r="B30" s="52">
        <v>5507308.7999999998</v>
      </c>
      <c r="C30" s="52">
        <v>4832049.5999999996</v>
      </c>
      <c r="D30" s="52">
        <v>2535484.5</v>
      </c>
      <c r="E30" s="52">
        <v>1893818.61</v>
      </c>
      <c r="F30" s="52">
        <v>434073.60000000009</v>
      </c>
      <c r="G30" s="52">
        <v>771686.39999999991</v>
      </c>
      <c r="H30" s="52">
        <v>657073.60000000009</v>
      </c>
      <c r="I30" s="52">
        <v>148108.7999999999</v>
      </c>
      <c r="J30" s="52">
        <v>909811.20000000007</v>
      </c>
      <c r="K30" s="52">
        <v>406108.79999999993</v>
      </c>
      <c r="L30" s="52">
        <v>277557</v>
      </c>
      <c r="M30" s="52">
        <v>277557</v>
      </c>
      <c r="N30" s="52">
        <v>451162</v>
      </c>
      <c r="O30" s="52">
        <v>12438.870000000012</v>
      </c>
      <c r="P30" s="52">
        <v>402190.13</v>
      </c>
      <c r="Q30" s="52">
        <v>61413.87000000001</v>
      </c>
      <c r="R30" s="52">
        <v>42.699999999999996</v>
      </c>
      <c r="S30" s="52">
        <v>73.149999999999991</v>
      </c>
      <c r="T30" s="52">
        <v>43.05</v>
      </c>
      <c r="U30" s="52">
        <v>31.5</v>
      </c>
      <c r="V30" s="52">
        <v>51.239999999999995</v>
      </c>
      <c r="W30" s="52">
        <v>20.7</v>
      </c>
      <c r="X30" s="52">
        <v>64.800000000000011</v>
      </c>
      <c r="Y30" s="52">
        <v>4.16</v>
      </c>
      <c r="Z30" s="52">
        <v>33</v>
      </c>
      <c r="AA30" s="52">
        <v>2.08</v>
      </c>
      <c r="AB30" s="52">
        <v>15</v>
      </c>
      <c r="AC30" s="52">
        <v>0.69</v>
      </c>
      <c r="AD30" s="52">
        <v>0.19</v>
      </c>
      <c r="AE30" s="52">
        <v>0.35</v>
      </c>
      <c r="AF30" s="52">
        <v>0.74</v>
      </c>
      <c r="AG30" s="52">
        <v>0.31</v>
      </c>
      <c r="AH30" s="52">
        <v>0.25</v>
      </c>
      <c r="AI30" s="52">
        <v>0.13</v>
      </c>
      <c r="AJ30" s="52">
        <v>0.18</v>
      </c>
    </row>
    <row r="31" spans="1:36" ht="25" customHeight="1" x14ac:dyDescent="0.2">
      <c r="A31" s="51">
        <v>28</v>
      </c>
      <c r="B31" s="52">
        <v>7912800</v>
      </c>
      <c r="C31" s="52">
        <v>6942600</v>
      </c>
      <c r="D31" s="52">
        <v>3642937.5</v>
      </c>
      <c r="E31" s="52">
        <v>2721003.75</v>
      </c>
      <c r="F31" s="52">
        <v>566707.19999999995</v>
      </c>
      <c r="G31" s="52">
        <v>639052.80000000005</v>
      </c>
      <c r="H31" s="52">
        <v>789707.2</v>
      </c>
      <c r="I31" s="52">
        <v>190425.59999999995</v>
      </c>
      <c r="J31" s="52">
        <v>867494.40000000002</v>
      </c>
      <c r="K31" s="52">
        <v>448425.6</v>
      </c>
      <c r="L31" s="52">
        <v>194289.90000000005</v>
      </c>
      <c r="M31" s="52">
        <v>360824.1</v>
      </c>
      <c r="N31" s="52">
        <v>367894.9</v>
      </c>
      <c r="O31" s="52">
        <v>33170.320000000029</v>
      </c>
      <c r="P31" s="52">
        <v>381458.68</v>
      </c>
      <c r="Q31" s="52">
        <v>82145.320000000036</v>
      </c>
      <c r="R31" s="52">
        <v>58.559999999999995</v>
      </c>
      <c r="S31" s="52">
        <v>100.32</v>
      </c>
      <c r="T31" s="52">
        <v>59.04</v>
      </c>
      <c r="U31" s="52">
        <v>43.5</v>
      </c>
      <c r="V31" s="52">
        <v>70.759999999999991</v>
      </c>
      <c r="W31" s="52">
        <v>36</v>
      </c>
      <c r="X31" s="52">
        <v>49.8</v>
      </c>
      <c r="Y31" s="52">
        <v>4.4400000000000004</v>
      </c>
      <c r="Z31" s="52">
        <v>28.38</v>
      </c>
      <c r="AA31" s="52">
        <v>2.2200000000000002</v>
      </c>
      <c r="AB31" s="52">
        <v>12.9</v>
      </c>
      <c r="AC31" s="52">
        <v>0.78</v>
      </c>
      <c r="AD31" s="52">
        <v>0.39</v>
      </c>
      <c r="AE31" s="52">
        <v>0.12</v>
      </c>
      <c r="AF31" s="52">
        <v>0.69</v>
      </c>
      <c r="AG31" s="52">
        <v>0.34</v>
      </c>
      <c r="AH31" s="52">
        <v>0.28000000000000003</v>
      </c>
      <c r="AI31" s="52">
        <v>0.11</v>
      </c>
      <c r="AJ31" s="52">
        <v>0.2</v>
      </c>
    </row>
    <row r="32" spans="1:36" ht="25" customHeight="1" x14ac:dyDescent="0.2">
      <c r="A32" s="51">
        <v>29</v>
      </c>
      <c r="B32" s="52">
        <v>5633913.5999999996</v>
      </c>
      <c r="C32" s="52">
        <v>4943131.2</v>
      </c>
      <c r="D32" s="52">
        <v>2593771.5</v>
      </c>
      <c r="E32" s="52">
        <v>1937354.67</v>
      </c>
      <c r="F32" s="52">
        <v>277324.79999999999</v>
      </c>
      <c r="G32" s="52">
        <v>928435.19999999995</v>
      </c>
      <c r="H32" s="52">
        <v>500324.8</v>
      </c>
      <c r="I32" s="52">
        <v>402009.59999999986</v>
      </c>
      <c r="J32" s="52">
        <v>655910.40000000014</v>
      </c>
      <c r="K32" s="52">
        <v>660009.59999999986</v>
      </c>
      <c r="L32" s="52">
        <v>155431.92000000001</v>
      </c>
      <c r="M32" s="52">
        <v>399682.07999999996</v>
      </c>
      <c r="N32" s="52">
        <v>329036.92000000004</v>
      </c>
      <c r="O32" s="52">
        <v>74633.219999999972</v>
      </c>
      <c r="P32" s="52">
        <v>339995.78</v>
      </c>
      <c r="Q32" s="52">
        <v>123608.21999999997</v>
      </c>
      <c r="R32" s="52">
        <v>111.02000000000001</v>
      </c>
      <c r="S32" s="52">
        <v>190.19</v>
      </c>
      <c r="T32" s="52">
        <v>111.93</v>
      </c>
      <c r="U32" s="52">
        <v>23.25</v>
      </c>
      <c r="V32" s="52">
        <v>37.82</v>
      </c>
      <c r="W32" s="52">
        <v>30.900000000000002</v>
      </c>
      <c r="X32" s="52">
        <v>36</v>
      </c>
      <c r="Y32" s="52">
        <v>3.24</v>
      </c>
      <c r="Z32" s="52">
        <v>32.01</v>
      </c>
      <c r="AA32" s="52">
        <v>1.62</v>
      </c>
      <c r="AB32" s="52">
        <v>14.549999999999999</v>
      </c>
      <c r="AC32" s="52">
        <v>0.71</v>
      </c>
      <c r="AD32" s="52">
        <v>0.19</v>
      </c>
      <c r="AE32" s="52">
        <v>0.24</v>
      </c>
      <c r="AF32" s="52">
        <v>0.61</v>
      </c>
      <c r="AG32" s="52">
        <v>0.12</v>
      </c>
      <c r="AH32" s="52">
        <v>0.11</v>
      </c>
      <c r="AI32" s="52">
        <v>0.23</v>
      </c>
      <c r="AJ32" s="52">
        <v>0.25</v>
      </c>
    </row>
    <row r="33" spans="1:36" ht="25" customHeight="1" x14ac:dyDescent="0.2">
      <c r="A33" s="51">
        <v>30</v>
      </c>
      <c r="B33" s="52">
        <v>6773356.8000000007</v>
      </c>
      <c r="C33" s="52">
        <v>5942865.6000000006</v>
      </c>
      <c r="D33" s="52">
        <v>3118354.5</v>
      </c>
      <c r="E33" s="52">
        <v>2329179.21</v>
      </c>
      <c r="F33" s="52">
        <v>277324.79999999999</v>
      </c>
      <c r="G33" s="52">
        <v>928435.19999999995</v>
      </c>
      <c r="H33" s="52">
        <v>500324.8</v>
      </c>
      <c r="I33" s="52">
        <v>528960</v>
      </c>
      <c r="J33" s="52">
        <v>528960</v>
      </c>
      <c r="K33" s="52">
        <v>786960</v>
      </c>
      <c r="L33" s="52">
        <v>194289.90000000005</v>
      </c>
      <c r="M33" s="52">
        <v>360824.1</v>
      </c>
      <c r="N33" s="52">
        <v>367894.9</v>
      </c>
      <c r="O33" s="52">
        <v>99510.959999999992</v>
      </c>
      <c r="P33" s="52">
        <v>315118.04000000004</v>
      </c>
      <c r="Q33" s="52">
        <v>148485.96</v>
      </c>
      <c r="R33" s="52">
        <v>107.36</v>
      </c>
      <c r="S33" s="52">
        <v>183.92</v>
      </c>
      <c r="T33" s="52">
        <v>108.24</v>
      </c>
      <c r="U33" s="52">
        <v>36</v>
      </c>
      <c r="V33" s="52">
        <v>58.559999999999995</v>
      </c>
      <c r="W33" s="52">
        <v>28.2</v>
      </c>
      <c r="X33" s="52">
        <v>71.399999999999991</v>
      </c>
      <c r="Y33" s="52">
        <v>3.08</v>
      </c>
      <c r="Z33" s="52">
        <v>30.69</v>
      </c>
      <c r="AA33" s="52">
        <v>1.54</v>
      </c>
      <c r="AB33" s="52">
        <v>13.950000000000001</v>
      </c>
      <c r="AC33" s="52">
        <v>0.87</v>
      </c>
      <c r="AD33" s="52">
        <v>0.27</v>
      </c>
      <c r="AE33" s="52">
        <v>0.21</v>
      </c>
      <c r="AF33" s="52">
        <v>0.69</v>
      </c>
      <c r="AG33" s="52">
        <v>0.14000000000000001</v>
      </c>
      <c r="AH33" s="52">
        <v>0.21</v>
      </c>
      <c r="AI33" s="52">
        <v>0.24</v>
      </c>
      <c r="AJ33" s="52">
        <v>0.3</v>
      </c>
    </row>
    <row r="34" spans="1:36" ht="25" customHeight="1" x14ac:dyDescent="0.2">
      <c r="A34" s="51">
        <v>31</v>
      </c>
      <c r="B34" s="52">
        <v>6203635.2000000002</v>
      </c>
      <c r="C34" s="52">
        <v>5442998.3999999994</v>
      </c>
      <c r="D34" s="52">
        <v>2856063</v>
      </c>
      <c r="E34" s="52">
        <v>2133266.94</v>
      </c>
      <c r="F34" s="52">
        <v>434073.60000000009</v>
      </c>
      <c r="G34" s="52">
        <v>771686.39999999991</v>
      </c>
      <c r="H34" s="52">
        <v>657073.60000000009</v>
      </c>
      <c r="I34" s="52">
        <v>380851.20000000013</v>
      </c>
      <c r="J34" s="52">
        <v>677068.79999999981</v>
      </c>
      <c r="K34" s="52">
        <v>638851.20000000019</v>
      </c>
      <c r="L34" s="52">
        <v>210943.31999999995</v>
      </c>
      <c r="M34" s="52">
        <v>344170.68000000005</v>
      </c>
      <c r="N34" s="52">
        <v>384548.31999999995</v>
      </c>
      <c r="O34" s="52">
        <v>16585.160000000014</v>
      </c>
      <c r="P34" s="52">
        <v>398043.83999999997</v>
      </c>
      <c r="Q34" s="52">
        <v>65560.160000000018</v>
      </c>
      <c r="R34" s="52">
        <v>74.42</v>
      </c>
      <c r="S34" s="52">
        <v>127.49</v>
      </c>
      <c r="T34" s="52">
        <v>75.03</v>
      </c>
      <c r="U34" s="52">
        <v>48</v>
      </c>
      <c r="V34" s="52">
        <v>78.08</v>
      </c>
      <c r="W34" s="52">
        <v>27.3</v>
      </c>
      <c r="X34" s="52">
        <v>37.799999999999997</v>
      </c>
      <c r="Y34" s="52">
        <v>3.12</v>
      </c>
      <c r="Z34" s="52">
        <v>27.72</v>
      </c>
      <c r="AA34" s="52">
        <v>1.56</v>
      </c>
      <c r="AB34" s="52">
        <v>12.6</v>
      </c>
      <c r="AC34" s="52">
        <v>0.6</v>
      </c>
      <c r="AD34" s="52">
        <v>0.14000000000000001</v>
      </c>
      <c r="AE34" s="52">
        <v>0.36</v>
      </c>
      <c r="AF34" s="52">
        <v>0.88</v>
      </c>
      <c r="AG34" s="52">
        <v>0.34</v>
      </c>
      <c r="AH34" s="52">
        <v>0.26</v>
      </c>
      <c r="AI34" s="52">
        <v>0.23</v>
      </c>
      <c r="AJ34" s="52">
        <v>0.21</v>
      </c>
    </row>
    <row r="35" spans="1:36" ht="25" customHeight="1" x14ac:dyDescent="0.2">
      <c r="A35" s="51">
        <v>32</v>
      </c>
      <c r="B35" s="52">
        <v>6456844.7999999998</v>
      </c>
      <c r="C35" s="52">
        <v>5665161.6000000006</v>
      </c>
      <c r="D35" s="52">
        <v>2972637</v>
      </c>
      <c r="E35" s="52">
        <v>2220339.06</v>
      </c>
      <c r="F35" s="52">
        <v>385843.20000000007</v>
      </c>
      <c r="G35" s="52">
        <v>819916.79999999993</v>
      </c>
      <c r="H35" s="52">
        <v>608843.20000000007</v>
      </c>
      <c r="I35" s="52">
        <v>497222.39999999997</v>
      </c>
      <c r="J35" s="52">
        <v>560697.60000000009</v>
      </c>
      <c r="K35" s="52">
        <v>755222.39999999991</v>
      </c>
      <c r="L35" s="52">
        <v>249801.3</v>
      </c>
      <c r="M35" s="52">
        <v>305312.7</v>
      </c>
      <c r="N35" s="52">
        <v>423406.3</v>
      </c>
      <c r="O35" s="52">
        <v>29024.030000000024</v>
      </c>
      <c r="P35" s="52">
        <v>385604.97</v>
      </c>
      <c r="Q35" s="52">
        <v>77999.030000000028</v>
      </c>
      <c r="R35" s="52">
        <v>57.339999999999996</v>
      </c>
      <c r="S35" s="52">
        <v>98.22999999999999</v>
      </c>
      <c r="T35" s="52">
        <v>57.809999999999995</v>
      </c>
      <c r="U35" s="52">
        <v>21.000000000000004</v>
      </c>
      <c r="V35" s="52">
        <v>34.160000000000004</v>
      </c>
      <c r="W35" s="52">
        <v>35.699999999999996</v>
      </c>
      <c r="X35" s="52">
        <v>67.8</v>
      </c>
      <c r="Y35" s="52">
        <v>3.52</v>
      </c>
      <c r="Z35" s="52">
        <v>31.349999999999998</v>
      </c>
      <c r="AA35" s="52">
        <v>1.76</v>
      </c>
      <c r="AB35" s="52">
        <v>14.25</v>
      </c>
      <c r="AC35" s="52">
        <v>0.83</v>
      </c>
      <c r="AD35" s="52">
        <v>0.33</v>
      </c>
      <c r="AE35" s="52">
        <v>0.11</v>
      </c>
      <c r="AF35" s="52">
        <v>0.82</v>
      </c>
      <c r="AG35" s="52">
        <v>0.31</v>
      </c>
      <c r="AH35" s="52">
        <v>0.3</v>
      </c>
      <c r="AI35" s="52">
        <v>0.24</v>
      </c>
      <c r="AJ35" s="52">
        <v>0.25</v>
      </c>
    </row>
    <row r="36" spans="1:36" ht="25" customHeight="1" x14ac:dyDescent="0.2">
      <c r="A36" s="51">
        <v>33</v>
      </c>
      <c r="B36" s="52">
        <v>5000889.6000000006</v>
      </c>
      <c r="C36" s="52">
        <v>4387723.2</v>
      </c>
      <c r="D36" s="52">
        <v>2302336.5</v>
      </c>
      <c r="E36" s="52">
        <v>1719674.37</v>
      </c>
      <c r="F36" s="52">
        <v>217036.79999999993</v>
      </c>
      <c r="G36" s="52">
        <v>988723.20000000007</v>
      </c>
      <c r="H36" s="52">
        <v>440036.79999999993</v>
      </c>
      <c r="I36" s="52">
        <v>169267.19999999992</v>
      </c>
      <c r="J36" s="52">
        <v>888652.80000000005</v>
      </c>
      <c r="K36" s="52">
        <v>427267.19999999995</v>
      </c>
      <c r="L36" s="52">
        <v>94369.379999999961</v>
      </c>
      <c r="M36" s="52">
        <v>460744.62000000005</v>
      </c>
      <c r="N36" s="52">
        <v>267974.37999999995</v>
      </c>
      <c r="O36" s="52">
        <v>111949.83</v>
      </c>
      <c r="P36" s="52">
        <v>302679.17</v>
      </c>
      <c r="Q36" s="52">
        <v>160924.83000000002</v>
      </c>
      <c r="R36" s="52">
        <v>67.100000000000009</v>
      </c>
      <c r="S36" s="52">
        <v>114.95</v>
      </c>
      <c r="T36" s="52">
        <v>67.650000000000006</v>
      </c>
      <c r="U36" s="52">
        <v>18.75</v>
      </c>
      <c r="V36" s="52">
        <v>30.5</v>
      </c>
      <c r="W36" s="52">
        <v>29.7</v>
      </c>
      <c r="X36" s="52">
        <v>79.800000000000011</v>
      </c>
      <c r="Y36" s="52">
        <v>3.2</v>
      </c>
      <c r="Z36" s="52">
        <v>25.41</v>
      </c>
      <c r="AA36" s="52">
        <v>1.6</v>
      </c>
      <c r="AB36" s="52">
        <v>11.55</v>
      </c>
      <c r="AC36" s="52">
        <v>0.77</v>
      </c>
      <c r="AD36" s="52">
        <v>0.37</v>
      </c>
      <c r="AE36" s="52">
        <v>0.25</v>
      </c>
      <c r="AF36" s="52">
        <v>0.87</v>
      </c>
      <c r="AG36" s="52">
        <v>0.32</v>
      </c>
      <c r="AH36" s="52">
        <v>0.27</v>
      </c>
      <c r="AI36" s="52">
        <v>0.27</v>
      </c>
      <c r="AJ36" s="52">
        <v>0.23</v>
      </c>
    </row>
    <row r="37" spans="1:36" ht="25" customHeight="1" x14ac:dyDescent="0.2">
      <c r="A37" s="51">
        <v>34</v>
      </c>
      <c r="B37" s="52">
        <v>7469683.1999999993</v>
      </c>
      <c r="C37" s="52">
        <v>6553814.3999999994</v>
      </c>
      <c r="D37" s="52">
        <v>3438933</v>
      </c>
      <c r="E37" s="52">
        <v>2568627.54</v>
      </c>
      <c r="F37" s="52">
        <v>289382.39999999997</v>
      </c>
      <c r="G37" s="52">
        <v>916377.60000000009</v>
      </c>
      <c r="H37" s="52">
        <v>512382.39999999997</v>
      </c>
      <c r="I37" s="52">
        <v>74054.400000000067</v>
      </c>
      <c r="J37" s="52">
        <v>983865.6</v>
      </c>
      <c r="K37" s="52">
        <v>332054.40000000008</v>
      </c>
      <c r="L37" s="52">
        <v>27755.700000000026</v>
      </c>
      <c r="M37" s="52">
        <v>527358.29999999993</v>
      </c>
      <c r="N37" s="52">
        <v>201360.7</v>
      </c>
      <c r="O37" s="52">
        <v>111949.83</v>
      </c>
      <c r="P37" s="52">
        <v>302679.17</v>
      </c>
      <c r="Q37" s="52">
        <v>160924.83000000002</v>
      </c>
      <c r="R37" s="52">
        <v>59.78</v>
      </c>
      <c r="S37" s="52">
        <v>102.41</v>
      </c>
      <c r="T37" s="52">
        <v>60.269999999999996</v>
      </c>
      <c r="U37" s="52">
        <v>39.75</v>
      </c>
      <c r="V37" s="52">
        <v>64.66</v>
      </c>
      <c r="W37" s="52">
        <v>27.6</v>
      </c>
      <c r="X37" s="52">
        <v>54</v>
      </c>
      <c r="Y37" s="52">
        <v>3.36</v>
      </c>
      <c r="Z37" s="52">
        <v>29.04</v>
      </c>
      <c r="AA37" s="52">
        <v>1.68</v>
      </c>
      <c r="AB37" s="52">
        <v>13.2</v>
      </c>
      <c r="AC37" s="52">
        <v>0.61</v>
      </c>
      <c r="AD37" s="52">
        <v>0.2</v>
      </c>
      <c r="AE37" s="52">
        <v>0.26</v>
      </c>
      <c r="AF37" s="52">
        <v>0.87</v>
      </c>
      <c r="AG37" s="52">
        <v>0.39</v>
      </c>
      <c r="AH37" s="52">
        <v>0.24</v>
      </c>
      <c r="AI37" s="52">
        <v>0.23</v>
      </c>
      <c r="AJ37" s="52">
        <v>0.27</v>
      </c>
    </row>
    <row r="38" spans="1:36" ht="25" customHeight="1" x14ac:dyDescent="0.2">
      <c r="A38" s="51">
        <v>35</v>
      </c>
      <c r="B38" s="52">
        <v>5887123.2000000002</v>
      </c>
      <c r="C38" s="52">
        <v>5165294.4000000004</v>
      </c>
      <c r="D38" s="52">
        <v>2710345.5</v>
      </c>
      <c r="E38" s="52">
        <v>2024426.79</v>
      </c>
      <c r="F38" s="52">
        <v>554649.59999999998</v>
      </c>
      <c r="G38" s="52">
        <v>651110.40000000002</v>
      </c>
      <c r="H38" s="52">
        <v>777649.6</v>
      </c>
      <c r="I38" s="52">
        <v>31737.600000000028</v>
      </c>
      <c r="J38" s="52">
        <v>1026182.4</v>
      </c>
      <c r="K38" s="52">
        <v>289737.60000000003</v>
      </c>
      <c r="L38" s="52">
        <v>116573.93999999997</v>
      </c>
      <c r="M38" s="52">
        <v>438540.06000000006</v>
      </c>
      <c r="N38" s="52">
        <v>290178.93999999994</v>
      </c>
      <c r="O38" s="52">
        <v>149266.44000000003</v>
      </c>
      <c r="P38" s="52">
        <v>265362.55999999994</v>
      </c>
      <c r="Q38" s="52">
        <v>198241.44000000003</v>
      </c>
      <c r="R38" s="52">
        <v>80.52000000000001</v>
      </c>
      <c r="S38" s="52">
        <v>137.94</v>
      </c>
      <c r="T38" s="52">
        <v>81.180000000000007</v>
      </c>
      <c r="U38" s="52">
        <v>33</v>
      </c>
      <c r="V38" s="52">
        <v>53.68</v>
      </c>
      <c r="W38" s="52">
        <v>21.599999999999998</v>
      </c>
      <c r="X38" s="52">
        <v>81</v>
      </c>
      <c r="Y38" s="52">
        <v>3.28</v>
      </c>
      <c r="Z38" s="52">
        <v>30.03</v>
      </c>
      <c r="AA38" s="52">
        <v>1.64</v>
      </c>
      <c r="AB38" s="52">
        <v>13.65</v>
      </c>
      <c r="AC38" s="52">
        <v>0.85</v>
      </c>
      <c r="AD38" s="52">
        <v>0.26</v>
      </c>
      <c r="AE38" s="52">
        <v>0.22</v>
      </c>
      <c r="AF38" s="52">
        <v>0.67</v>
      </c>
      <c r="AG38" s="52">
        <v>0.2</v>
      </c>
      <c r="AH38" s="52">
        <v>0.14000000000000001</v>
      </c>
      <c r="AI38" s="52">
        <v>0.23</v>
      </c>
      <c r="AJ38" s="52">
        <v>0.22</v>
      </c>
    </row>
    <row r="39" spans="1:36" ht="25" customHeight="1" x14ac:dyDescent="0.2">
      <c r="A39" s="51">
        <v>36</v>
      </c>
      <c r="B39" s="52">
        <v>6393542.4000000004</v>
      </c>
      <c r="C39" s="52">
        <v>5609620.7999999998</v>
      </c>
      <c r="D39" s="52">
        <v>2943493.5</v>
      </c>
      <c r="E39" s="52">
        <v>2198571.0299999998</v>
      </c>
      <c r="F39" s="52">
        <v>518476.79999999993</v>
      </c>
      <c r="G39" s="52">
        <v>687283.20000000007</v>
      </c>
      <c r="H39" s="52">
        <v>741476.79999999993</v>
      </c>
      <c r="I39" s="52">
        <v>84633.600000000079</v>
      </c>
      <c r="J39" s="52">
        <v>973286.39999999991</v>
      </c>
      <c r="K39" s="52">
        <v>342633.60000000009</v>
      </c>
      <c r="L39" s="52">
        <v>122125.07999999999</v>
      </c>
      <c r="M39" s="52">
        <v>432988.92000000004</v>
      </c>
      <c r="N39" s="52">
        <v>295730.07999999996</v>
      </c>
      <c r="O39" s="52">
        <v>132681.28000000003</v>
      </c>
      <c r="P39" s="52">
        <v>281947.71999999997</v>
      </c>
      <c r="Q39" s="52">
        <v>181656.28000000003</v>
      </c>
      <c r="R39" s="52">
        <v>85.399999999999991</v>
      </c>
      <c r="S39" s="52">
        <v>146.29999999999998</v>
      </c>
      <c r="T39" s="52">
        <v>86.1</v>
      </c>
      <c r="U39" s="52">
        <v>24.75</v>
      </c>
      <c r="V39" s="52">
        <v>40.260000000000005</v>
      </c>
      <c r="W39" s="52">
        <v>40.800000000000004</v>
      </c>
      <c r="X39" s="52">
        <v>41.4</v>
      </c>
      <c r="Y39" s="52">
        <v>3.68</v>
      </c>
      <c r="Z39" s="52">
        <v>31.68</v>
      </c>
      <c r="AA39" s="52">
        <v>1.84</v>
      </c>
      <c r="AB39" s="52">
        <v>14.399999999999999</v>
      </c>
      <c r="AC39" s="52">
        <v>0.64</v>
      </c>
      <c r="AD39" s="52">
        <v>0.22</v>
      </c>
      <c r="AE39" s="52">
        <v>0.34</v>
      </c>
      <c r="AF39" s="52">
        <v>0.68</v>
      </c>
      <c r="AG39" s="52">
        <v>0.14000000000000001</v>
      </c>
      <c r="AH39" s="52">
        <v>0.16</v>
      </c>
      <c r="AI39" s="52">
        <v>0.22</v>
      </c>
      <c r="AJ39" s="52">
        <v>0.24</v>
      </c>
    </row>
    <row r="40" spans="1:36" ht="25" customHeight="1" x14ac:dyDescent="0.2">
      <c r="A40" s="51">
        <v>37</v>
      </c>
      <c r="B40" s="52">
        <v>4937587.2</v>
      </c>
      <c r="C40" s="52">
        <v>4332182.4000000004</v>
      </c>
      <c r="D40" s="52">
        <v>2273193</v>
      </c>
      <c r="E40" s="52">
        <v>1697906.34</v>
      </c>
      <c r="F40" s="52">
        <v>192921.59999999989</v>
      </c>
      <c r="G40" s="52">
        <v>1012838.4000000001</v>
      </c>
      <c r="H40" s="52">
        <v>415921.59999999986</v>
      </c>
      <c r="I40" s="52">
        <v>338534.40000000008</v>
      </c>
      <c r="J40" s="52">
        <v>719385.59999999986</v>
      </c>
      <c r="K40" s="52">
        <v>596534.40000000014</v>
      </c>
      <c r="L40" s="52">
        <v>27755.700000000026</v>
      </c>
      <c r="M40" s="52">
        <v>527358.29999999993</v>
      </c>
      <c r="N40" s="52">
        <v>201360.7</v>
      </c>
      <c r="O40" s="52">
        <v>157559.01999999996</v>
      </c>
      <c r="P40" s="52">
        <v>257069.98000000004</v>
      </c>
      <c r="Q40" s="52">
        <v>206534.01999999996</v>
      </c>
      <c r="R40" s="52">
        <v>36.6</v>
      </c>
      <c r="S40" s="52">
        <v>62.699999999999996</v>
      </c>
      <c r="T40" s="52">
        <v>36.9</v>
      </c>
      <c r="U40" s="52">
        <v>42.749999999999993</v>
      </c>
      <c r="V40" s="52">
        <v>69.539999999999992</v>
      </c>
      <c r="W40" s="52">
        <v>38.1</v>
      </c>
      <c r="X40" s="52">
        <v>58.8</v>
      </c>
      <c r="Y40" s="52">
        <v>4.04</v>
      </c>
      <c r="Z40" s="52">
        <v>29.7</v>
      </c>
      <c r="AA40" s="52">
        <v>2.02</v>
      </c>
      <c r="AB40" s="52">
        <v>13.5</v>
      </c>
      <c r="AC40" s="52">
        <v>0.8</v>
      </c>
      <c r="AD40" s="52">
        <v>0.28000000000000003</v>
      </c>
      <c r="AE40" s="52">
        <v>0.1</v>
      </c>
      <c r="AF40" s="52">
        <v>0.67</v>
      </c>
      <c r="AG40" s="52">
        <v>0.33</v>
      </c>
      <c r="AH40" s="52">
        <v>0.32</v>
      </c>
      <c r="AI40" s="52">
        <v>0.15</v>
      </c>
      <c r="AJ40" s="52">
        <v>0.19</v>
      </c>
    </row>
    <row r="41" spans="1:36" ht="25" customHeight="1" x14ac:dyDescent="0.2">
      <c r="A41" s="51">
        <v>38</v>
      </c>
      <c r="B41" s="52">
        <v>7406380.7999999998</v>
      </c>
      <c r="C41" s="52">
        <v>6498273.5999999996</v>
      </c>
      <c r="D41" s="52">
        <v>3409789.5</v>
      </c>
      <c r="E41" s="52">
        <v>2546859.5099999998</v>
      </c>
      <c r="F41" s="52">
        <v>84403.20000000007</v>
      </c>
      <c r="G41" s="52">
        <v>1121356.7999999998</v>
      </c>
      <c r="H41" s="52">
        <v>307403.20000000007</v>
      </c>
      <c r="I41" s="52">
        <v>275059.20000000001</v>
      </c>
      <c r="J41" s="52">
        <v>782860.80000000005</v>
      </c>
      <c r="K41" s="52">
        <v>533059.19999999995</v>
      </c>
      <c r="L41" s="52">
        <v>111022.79999999997</v>
      </c>
      <c r="M41" s="52">
        <v>444091.2</v>
      </c>
      <c r="N41" s="52">
        <v>284627.8</v>
      </c>
      <c r="O41" s="52">
        <v>207314.5</v>
      </c>
      <c r="P41" s="52">
        <v>207314.5</v>
      </c>
      <c r="Q41" s="52">
        <v>256289.5</v>
      </c>
      <c r="R41" s="52">
        <v>52.46</v>
      </c>
      <c r="S41" s="52">
        <v>89.87</v>
      </c>
      <c r="T41" s="52">
        <v>52.89</v>
      </c>
      <c r="U41" s="52">
        <v>36.75</v>
      </c>
      <c r="V41" s="52">
        <v>59.78</v>
      </c>
      <c r="W41" s="52">
        <v>25.2</v>
      </c>
      <c r="X41" s="52">
        <v>64.800000000000011</v>
      </c>
      <c r="Y41" s="52">
        <v>4.28</v>
      </c>
      <c r="Z41" s="52">
        <v>24.75</v>
      </c>
      <c r="AA41" s="52">
        <v>2.14</v>
      </c>
      <c r="AB41" s="52">
        <v>11.25</v>
      </c>
      <c r="AC41" s="52">
        <v>0.78</v>
      </c>
      <c r="AD41" s="52">
        <v>0.12</v>
      </c>
      <c r="AE41" s="52">
        <v>0.33</v>
      </c>
      <c r="AF41" s="52">
        <v>0.64</v>
      </c>
      <c r="AG41" s="52">
        <v>0.32</v>
      </c>
      <c r="AH41" s="52">
        <v>0.36</v>
      </c>
      <c r="AI41" s="52">
        <v>0.14000000000000001</v>
      </c>
      <c r="AJ41" s="52">
        <v>0.17</v>
      </c>
    </row>
    <row r="42" spans="1:36" ht="25" customHeight="1" x14ac:dyDescent="0.2">
      <c r="A42" s="51">
        <v>39</v>
      </c>
      <c r="B42" s="52">
        <v>5760518.4000000004</v>
      </c>
      <c r="C42" s="52">
        <v>5054212.8</v>
      </c>
      <c r="D42" s="52">
        <v>2652058.5</v>
      </c>
      <c r="E42" s="52">
        <v>1980890.73</v>
      </c>
      <c r="F42" s="52">
        <v>566707.19999999995</v>
      </c>
      <c r="G42" s="52">
        <v>639052.80000000005</v>
      </c>
      <c r="H42" s="52">
        <v>789707.2</v>
      </c>
      <c r="I42" s="52">
        <v>486643.19999999995</v>
      </c>
      <c r="J42" s="52">
        <v>571276.80000000005</v>
      </c>
      <c r="K42" s="52">
        <v>744643.2</v>
      </c>
      <c r="L42" s="52">
        <v>44409.120000000039</v>
      </c>
      <c r="M42" s="52">
        <v>510704.87999999995</v>
      </c>
      <c r="N42" s="52">
        <v>218014.12000000005</v>
      </c>
      <c r="O42" s="52">
        <v>149266.44000000003</v>
      </c>
      <c r="P42" s="52">
        <v>265362.55999999994</v>
      </c>
      <c r="Q42" s="52">
        <v>198241.44000000003</v>
      </c>
      <c r="R42" s="52">
        <v>119.56</v>
      </c>
      <c r="S42" s="52">
        <v>204.82</v>
      </c>
      <c r="T42" s="52">
        <v>120.53999999999999</v>
      </c>
      <c r="U42" s="52">
        <v>33</v>
      </c>
      <c r="V42" s="52">
        <v>53.68</v>
      </c>
      <c r="W42" s="52">
        <v>19.2</v>
      </c>
      <c r="X42" s="52">
        <v>46.800000000000004</v>
      </c>
      <c r="Y42" s="52">
        <v>4.16</v>
      </c>
      <c r="Z42" s="52">
        <v>32.339999999999996</v>
      </c>
      <c r="AA42" s="52">
        <v>2.08</v>
      </c>
      <c r="AB42" s="52">
        <v>14.7</v>
      </c>
      <c r="AC42" s="52">
        <v>0.86</v>
      </c>
      <c r="AD42" s="52">
        <v>0.3</v>
      </c>
      <c r="AE42" s="52">
        <v>0.13</v>
      </c>
      <c r="AF42" s="52">
        <v>0.78</v>
      </c>
      <c r="AG42" s="52">
        <v>0.22</v>
      </c>
      <c r="AH42" s="52">
        <v>0.23</v>
      </c>
      <c r="AI42" s="52">
        <v>0.19</v>
      </c>
      <c r="AJ42" s="52">
        <v>0.13</v>
      </c>
    </row>
    <row r="43" spans="1:36" ht="25" customHeight="1" x14ac:dyDescent="0.2">
      <c r="A43" s="51">
        <v>40</v>
      </c>
      <c r="B43" s="52">
        <v>7469683.1999999993</v>
      </c>
      <c r="C43" s="52">
        <v>6553814.3999999994</v>
      </c>
      <c r="D43" s="52">
        <v>3438933</v>
      </c>
      <c r="E43" s="52">
        <v>2568627.54</v>
      </c>
      <c r="F43" s="52">
        <v>506419.1999999999</v>
      </c>
      <c r="G43" s="52">
        <v>699340.80000000005</v>
      </c>
      <c r="H43" s="52">
        <v>729419.2</v>
      </c>
      <c r="I43" s="52">
        <v>454905.59999999992</v>
      </c>
      <c r="J43" s="52">
        <v>603014.40000000014</v>
      </c>
      <c r="K43" s="52">
        <v>712905.59999999986</v>
      </c>
      <c r="L43" s="52">
        <v>94369.379999999961</v>
      </c>
      <c r="M43" s="52">
        <v>460744.62000000005</v>
      </c>
      <c r="N43" s="52">
        <v>267974.37999999995</v>
      </c>
      <c r="O43" s="52">
        <v>194875.62999999998</v>
      </c>
      <c r="P43" s="52">
        <v>219753.37000000002</v>
      </c>
      <c r="Q43" s="52">
        <v>243850.62999999998</v>
      </c>
      <c r="R43" s="52">
        <v>95.16</v>
      </c>
      <c r="S43" s="52">
        <v>163.02000000000001</v>
      </c>
      <c r="T43" s="52">
        <v>95.94</v>
      </c>
      <c r="U43" s="52">
        <v>38.25</v>
      </c>
      <c r="V43" s="52">
        <v>62.22</v>
      </c>
      <c r="W43" s="52">
        <v>38.700000000000003</v>
      </c>
      <c r="X43" s="52">
        <v>83.399999999999991</v>
      </c>
      <c r="Y43" s="52">
        <v>4.2</v>
      </c>
      <c r="Z43" s="52">
        <v>28.38</v>
      </c>
      <c r="AA43" s="52">
        <v>2.1</v>
      </c>
      <c r="AB43" s="52">
        <v>12.9</v>
      </c>
      <c r="AC43" s="52">
        <v>0.71</v>
      </c>
      <c r="AD43" s="52">
        <v>0.15</v>
      </c>
      <c r="AE43" s="52">
        <v>0.33</v>
      </c>
      <c r="AF43" s="52">
        <v>0.8</v>
      </c>
      <c r="AG43" s="52">
        <v>0.26</v>
      </c>
      <c r="AH43" s="52">
        <v>0.14000000000000001</v>
      </c>
      <c r="AI43" s="52">
        <v>0.14000000000000001</v>
      </c>
      <c r="AJ43" s="52">
        <v>0.13</v>
      </c>
    </row>
    <row r="44" spans="1:36" ht="25" customHeight="1" x14ac:dyDescent="0.2">
      <c r="A44" s="51">
        <v>41</v>
      </c>
      <c r="B44" s="52">
        <v>5760518.4000000004</v>
      </c>
      <c r="C44" s="52">
        <v>5054212.8</v>
      </c>
      <c r="D44" s="52">
        <v>2652058.5</v>
      </c>
      <c r="E44" s="52">
        <v>1980890.73</v>
      </c>
      <c r="F44" s="52">
        <v>301440</v>
      </c>
      <c r="G44" s="52">
        <v>904320</v>
      </c>
      <c r="H44" s="52">
        <v>524440</v>
      </c>
      <c r="I44" s="52">
        <v>21158.40000000002</v>
      </c>
      <c r="J44" s="52">
        <v>1036761.6</v>
      </c>
      <c r="K44" s="52">
        <v>279158.40000000002</v>
      </c>
      <c r="L44" s="52">
        <v>55511.400000000052</v>
      </c>
      <c r="M44" s="52">
        <v>499602.6</v>
      </c>
      <c r="N44" s="52">
        <v>229116.40000000005</v>
      </c>
      <c r="O44" s="52">
        <v>165851.59999999998</v>
      </c>
      <c r="P44" s="52">
        <v>248777.40000000002</v>
      </c>
      <c r="Q44" s="52">
        <v>214826.59999999998</v>
      </c>
      <c r="R44" s="52">
        <v>81.740000000000009</v>
      </c>
      <c r="S44" s="52">
        <v>140.03</v>
      </c>
      <c r="T44" s="52">
        <v>82.410000000000011</v>
      </c>
      <c r="U44" s="52">
        <v>71.25</v>
      </c>
      <c r="V44" s="52">
        <v>115.89999999999999</v>
      </c>
      <c r="W44" s="52">
        <v>34.199999999999996</v>
      </c>
      <c r="X44" s="52">
        <v>62.400000000000006</v>
      </c>
      <c r="Y44" s="52">
        <v>3</v>
      </c>
      <c r="Z44" s="52">
        <v>25.740000000000002</v>
      </c>
      <c r="AA44" s="52">
        <v>1.5</v>
      </c>
      <c r="AB44" s="52">
        <v>11.700000000000001</v>
      </c>
      <c r="AC44" s="52">
        <v>0.63</v>
      </c>
      <c r="AD44" s="52">
        <v>0.36</v>
      </c>
      <c r="AE44" s="52">
        <v>0.17</v>
      </c>
      <c r="AF44" s="52">
        <v>0.86</v>
      </c>
      <c r="AG44" s="52">
        <v>0.12</v>
      </c>
      <c r="AH44" s="52">
        <v>0.38</v>
      </c>
      <c r="AI44" s="52">
        <v>0.14000000000000001</v>
      </c>
      <c r="AJ44" s="52">
        <v>0.26</v>
      </c>
    </row>
    <row r="45" spans="1:36" ht="25" customHeight="1" x14ac:dyDescent="0.2">
      <c r="A45" s="51">
        <v>42</v>
      </c>
      <c r="B45" s="52">
        <v>7343078.3999999994</v>
      </c>
      <c r="C45" s="52">
        <v>6442732.7999999998</v>
      </c>
      <c r="D45" s="52">
        <v>3380645.9999999995</v>
      </c>
      <c r="E45" s="52">
        <v>2525091.48</v>
      </c>
      <c r="F45" s="52">
        <v>229094.39999999994</v>
      </c>
      <c r="G45" s="52">
        <v>976665.60000000009</v>
      </c>
      <c r="H45" s="52">
        <v>452094.39999999991</v>
      </c>
      <c r="I45" s="52">
        <v>222163.19999999995</v>
      </c>
      <c r="J45" s="52">
        <v>835756.8</v>
      </c>
      <c r="K45" s="52">
        <v>480163.19999999995</v>
      </c>
      <c r="L45" s="52">
        <v>33306.840000000033</v>
      </c>
      <c r="M45" s="52">
        <v>521807.16</v>
      </c>
      <c r="N45" s="52">
        <v>206911.84000000003</v>
      </c>
      <c r="O45" s="52">
        <v>153412.73000000004</v>
      </c>
      <c r="P45" s="52">
        <v>261216.26999999996</v>
      </c>
      <c r="Q45" s="52">
        <v>202387.73000000004</v>
      </c>
      <c r="R45" s="52">
        <v>56.120000000000005</v>
      </c>
      <c r="S45" s="52">
        <v>96.14</v>
      </c>
      <c r="T45" s="52">
        <v>56.580000000000005</v>
      </c>
      <c r="U45" s="52">
        <v>66.75</v>
      </c>
      <c r="V45" s="52">
        <v>108.58</v>
      </c>
      <c r="W45" s="52">
        <v>30.6</v>
      </c>
      <c r="X45" s="52">
        <v>36.6</v>
      </c>
      <c r="Y45" s="52">
        <v>3.32</v>
      </c>
      <c r="Z45" s="52">
        <v>26.400000000000002</v>
      </c>
      <c r="AA45" s="52">
        <v>1.66</v>
      </c>
      <c r="AB45" s="52">
        <v>12</v>
      </c>
      <c r="AC45" s="52">
        <v>0.81</v>
      </c>
      <c r="AD45" s="52">
        <v>0.15</v>
      </c>
      <c r="AE45" s="52">
        <v>0.32</v>
      </c>
      <c r="AF45" s="52">
        <v>0.86</v>
      </c>
      <c r="AG45" s="52">
        <v>0.16</v>
      </c>
      <c r="AH45" s="52">
        <v>0.32</v>
      </c>
      <c r="AI45" s="52">
        <v>0.12</v>
      </c>
      <c r="AJ45" s="52">
        <v>0.2</v>
      </c>
    </row>
    <row r="46" spans="1:36" ht="25" customHeight="1" x14ac:dyDescent="0.2">
      <c r="A46" s="51">
        <v>43</v>
      </c>
      <c r="B46" s="52">
        <v>6330240</v>
      </c>
      <c r="C46" s="52">
        <v>5554080</v>
      </c>
      <c r="D46" s="52">
        <v>2914350</v>
      </c>
      <c r="E46" s="52">
        <v>2176803</v>
      </c>
      <c r="F46" s="52">
        <v>409958.40000000008</v>
      </c>
      <c r="G46" s="52">
        <v>795801.59999999986</v>
      </c>
      <c r="H46" s="52">
        <v>632958.40000000014</v>
      </c>
      <c r="I46" s="52">
        <v>116371.2000000001</v>
      </c>
      <c r="J46" s="52">
        <v>941548.79999999993</v>
      </c>
      <c r="K46" s="52">
        <v>374371.20000000007</v>
      </c>
      <c r="L46" s="52">
        <v>88818.239999999962</v>
      </c>
      <c r="M46" s="52">
        <v>466295.76</v>
      </c>
      <c r="N46" s="52">
        <v>262423.24</v>
      </c>
      <c r="O46" s="52">
        <v>149266.44000000003</v>
      </c>
      <c r="P46" s="52">
        <v>265362.55999999994</v>
      </c>
      <c r="Q46" s="52">
        <v>198241.44000000003</v>
      </c>
      <c r="R46" s="52">
        <v>108.58</v>
      </c>
      <c r="S46" s="52">
        <v>186.01</v>
      </c>
      <c r="T46" s="52">
        <v>109.47</v>
      </c>
      <c r="U46" s="52">
        <v>74.25</v>
      </c>
      <c r="V46" s="52">
        <v>120.78</v>
      </c>
      <c r="W46" s="52">
        <v>24.599999999999998</v>
      </c>
      <c r="X46" s="52">
        <v>79.2</v>
      </c>
      <c r="Y46" s="52">
        <v>3.56</v>
      </c>
      <c r="Z46" s="52">
        <v>27.06</v>
      </c>
      <c r="AA46" s="52">
        <v>1.78</v>
      </c>
      <c r="AB46" s="52">
        <v>12.299999999999999</v>
      </c>
      <c r="AC46" s="52">
        <v>0.63</v>
      </c>
      <c r="AD46" s="52">
        <v>0.35</v>
      </c>
      <c r="AE46" s="52">
        <v>0.2</v>
      </c>
      <c r="AF46" s="52">
        <v>0.71</v>
      </c>
      <c r="AG46" s="52">
        <v>0.33</v>
      </c>
      <c r="AH46" s="52">
        <v>0.15</v>
      </c>
      <c r="AI46" s="52">
        <v>0.21</v>
      </c>
      <c r="AJ46" s="52">
        <v>0.28999999999999998</v>
      </c>
    </row>
    <row r="47" spans="1:36" ht="25" customHeight="1" x14ac:dyDescent="0.2">
      <c r="A47" s="51">
        <v>44</v>
      </c>
      <c r="B47" s="52">
        <v>6710054.4000000004</v>
      </c>
      <c r="C47" s="52">
        <v>5887324.8000000007</v>
      </c>
      <c r="D47" s="52">
        <v>3089211</v>
      </c>
      <c r="E47" s="52">
        <v>2307411.1800000002</v>
      </c>
      <c r="F47" s="52">
        <v>494361.59999999992</v>
      </c>
      <c r="G47" s="52">
        <v>711398.40000000014</v>
      </c>
      <c r="H47" s="52">
        <v>717361.59999999986</v>
      </c>
      <c r="I47" s="52">
        <v>63475.200000000055</v>
      </c>
      <c r="J47" s="52">
        <v>994444.79999999993</v>
      </c>
      <c r="K47" s="52">
        <v>321475.20000000007</v>
      </c>
      <c r="L47" s="52">
        <v>38857.980000000032</v>
      </c>
      <c r="M47" s="52">
        <v>516256.01999999996</v>
      </c>
      <c r="N47" s="52">
        <v>212462.98000000004</v>
      </c>
      <c r="O47" s="52">
        <v>128534.99000000002</v>
      </c>
      <c r="P47" s="52">
        <v>286094.01</v>
      </c>
      <c r="Q47" s="52">
        <v>177509.99000000002</v>
      </c>
      <c r="R47" s="52">
        <v>106.14</v>
      </c>
      <c r="S47" s="52">
        <v>181.83</v>
      </c>
      <c r="T47" s="52">
        <v>107.01</v>
      </c>
      <c r="U47" s="52">
        <v>63</v>
      </c>
      <c r="V47" s="52">
        <v>102.47999999999999</v>
      </c>
      <c r="W47" s="52">
        <v>35.699999999999996</v>
      </c>
      <c r="X47" s="52">
        <v>47.400000000000006</v>
      </c>
      <c r="Y47" s="52">
        <v>3</v>
      </c>
      <c r="Z47" s="52">
        <v>28.71</v>
      </c>
      <c r="AA47" s="52">
        <v>1.5</v>
      </c>
      <c r="AB47" s="52">
        <v>13.05</v>
      </c>
      <c r="AC47" s="52">
        <v>0.88</v>
      </c>
      <c r="AD47" s="52">
        <v>0.19</v>
      </c>
      <c r="AE47" s="52">
        <v>0.3</v>
      </c>
      <c r="AF47" s="52">
        <v>0.63</v>
      </c>
      <c r="AG47" s="52">
        <v>0.35</v>
      </c>
      <c r="AH47" s="52">
        <v>0.17</v>
      </c>
      <c r="AI47" s="52">
        <v>0.2</v>
      </c>
      <c r="AJ47" s="52">
        <v>0.22</v>
      </c>
    </row>
    <row r="48" spans="1:36" ht="25" customHeight="1" x14ac:dyDescent="0.2">
      <c r="A48" s="51">
        <v>45</v>
      </c>
      <c r="B48" s="52">
        <v>5444006.4000000004</v>
      </c>
      <c r="C48" s="52">
        <v>4776508.8</v>
      </c>
      <c r="D48" s="52">
        <v>2506341</v>
      </c>
      <c r="E48" s="52">
        <v>1872050.58</v>
      </c>
      <c r="F48" s="52">
        <v>24115.200000000023</v>
      </c>
      <c r="G48" s="52">
        <v>1181644.8</v>
      </c>
      <c r="H48" s="52">
        <v>247115.2</v>
      </c>
      <c r="I48" s="52">
        <v>264480</v>
      </c>
      <c r="J48" s="52">
        <v>793440</v>
      </c>
      <c r="K48" s="52">
        <v>522480</v>
      </c>
      <c r="L48" s="52">
        <v>111022.79999999997</v>
      </c>
      <c r="M48" s="52">
        <v>444091.2</v>
      </c>
      <c r="N48" s="52">
        <v>284627.8</v>
      </c>
      <c r="O48" s="52">
        <v>169997.88999999996</v>
      </c>
      <c r="P48" s="52">
        <v>244631.11000000004</v>
      </c>
      <c r="Q48" s="52">
        <v>218972.88999999996</v>
      </c>
      <c r="R48" s="52">
        <v>34.160000000000004</v>
      </c>
      <c r="S48" s="52">
        <v>58.52</v>
      </c>
      <c r="T48" s="52">
        <v>34.440000000000005</v>
      </c>
      <c r="U48" s="52">
        <v>48.75</v>
      </c>
      <c r="V48" s="52">
        <v>79.3</v>
      </c>
      <c r="W48" s="52">
        <v>31.5</v>
      </c>
      <c r="X48" s="52">
        <v>49.8</v>
      </c>
      <c r="Y48" s="52">
        <v>4.2</v>
      </c>
      <c r="Z48" s="52">
        <v>28.05</v>
      </c>
      <c r="AA48" s="52">
        <v>2.1</v>
      </c>
      <c r="AB48" s="52">
        <v>12.75</v>
      </c>
      <c r="AC48" s="52">
        <v>0.77</v>
      </c>
      <c r="AD48" s="52">
        <v>0.37</v>
      </c>
      <c r="AE48" s="52">
        <v>0.2</v>
      </c>
      <c r="AF48" s="52">
        <v>0.66</v>
      </c>
      <c r="AG48" s="52">
        <v>0.11</v>
      </c>
      <c r="AH48" s="52">
        <v>0.37</v>
      </c>
      <c r="AI48" s="52">
        <v>0.27</v>
      </c>
      <c r="AJ48" s="52">
        <v>0.13</v>
      </c>
    </row>
    <row r="49" spans="1:36" ht="25" customHeight="1" x14ac:dyDescent="0.2">
      <c r="A49" s="51">
        <v>46</v>
      </c>
      <c r="B49" s="52">
        <v>7532985.5999999996</v>
      </c>
      <c r="C49" s="52">
        <v>6609355.1999999993</v>
      </c>
      <c r="D49" s="52">
        <v>3468076.5</v>
      </c>
      <c r="E49" s="52">
        <v>2590395.5699999998</v>
      </c>
      <c r="F49" s="52">
        <v>253209.59999999995</v>
      </c>
      <c r="G49" s="52">
        <v>952550.40000000002</v>
      </c>
      <c r="H49" s="52">
        <v>476209.6</v>
      </c>
      <c r="I49" s="52">
        <v>327955.20000000007</v>
      </c>
      <c r="J49" s="52">
        <v>729964.79999999993</v>
      </c>
      <c r="K49" s="52">
        <v>585955.20000000007</v>
      </c>
      <c r="L49" s="52">
        <v>22204.560000000019</v>
      </c>
      <c r="M49" s="52">
        <v>532909.43999999994</v>
      </c>
      <c r="N49" s="52">
        <v>195809.56000000003</v>
      </c>
      <c r="O49" s="52">
        <v>132681.28000000003</v>
      </c>
      <c r="P49" s="52">
        <v>281947.71999999997</v>
      </c>
      <c r="Q49" s="52">
        <v>181656.28000000003</v>
      </c>
      <c r="R49" s="52">
        <v>47.58</v>
      </c>
      <c r="S49" s="52">
        <v>81.510000000000005</v>
      </c>
      <c r="T49" s="52">
        <v>47.97</v>
      </c>
      <c r="U49" s="52">
        <v>61.499999999999993</v>
      </c>
      <c r="V49" s="52">
        <v>100.03999999999999</v>
      </c>
      <c r="W49" s="52">
        <v>18.3</v>
      </c>
      <c r="X49" s="52">
        <v>60.6</v>
      </c>
      <c r="Y49" s="52">
        <v>4.4000000000000004</v>
      </c>
      <c r="Z49" s="52">
        <v>31.02</v>
      </c>
      <c r="AA49" s="52">
        <v>2.2000000000000002</v>
      </c>
      <c r="AB49" s="52">
        <v>14.1</v>
      </c>
      <c r="AC49" s="52">
        <v>0.8</v>
      </c>
      <c r="AD49" s="52">
        <v>0.23</v>
      </c>
      <c r="AE49" s="52">
        <v>0.35</v>
      </c>
      <c r="AF49" s="52">
        <v>0.71</v>
      </c>
      <c r="AG49" s="52">
        <v>0.15</v>
      </c>
      <c r="AH49" s="52">
        <v>0.27</v>
      </c>
      <c r="AI49" s="52">
        <v>0.28000000000000003</v>
      </c>
      <c r="AJ49" s="52">
        <v>0.16</v>
      </c>
    </row>
    <row r="50" spans="1:36" ht="25" customHeight="1" x14ac:dyDescent="0.2">
      <c r="A50" s="51">
        <v>47</v>
      </c>
      <c r="B50" s="52">
        <v>4874284.8</v>
      </c>
      <c r="C50" s="52">
        <v>4276641.6000000006</v>
      </c>
      <c r="D50" s="52">
        <v>2244049.5</v>
      </c>
      <c r="E50" s="52">
        <v>1676138.31</v>
      </c>
      <c r="F50" s="52">
        <v>470246.39999999991</v>
      </c>
      <c r="G50" s="52">
        <v>735513.60000000009</v>
      </c>
      <c r="H50" s="52">
        <v>693246.39999999991</v>
      </c>
      <c r="I50" s="52">
        <v>359692.8000000001</v>
      </c>
      <c r="J50" s="52">
        <v>698227.19999999995</v>
      </c>
      <c r="K50" s="52">
        <v>617692.80000000005</v>
      </c>
      <c r="L50" s="52">
        <v>127676.21999999999</v>
      </c>
      <c r="M50" s="52">
        <v>427437.78</v>
      </c>
      <c r="N50" s="52">
        <v>301281.21999999997</v>
      </c>
      <c r="O50" s="52">
        <v>161705.30999999997</v>
      </c>
      <c r="P50" s="52">
        <v>252923.69000000003</v>
      </c>
      <c r="Q50" s="52">
        <v>210680.30999999997</v>
      </c>
      <c r="R50" s="52">
        <v>96.38000000000001</v>
      </c>
      <c r="S50" s="52">
        <v>165.11</v>
      </c>
      <c r="T50" s="52">
        <v>97.17</v>
      </c>
      <c r="U50" s="52">
        <v>44.25</v>
      </c>
      <c r="V50" s="52">
        <v>71.97999999999999</v>
      </c>
      <c r="W50" s="52">
        <v>21.299999999999997</v>
      </c>
      <c r="X50" s="52">
        <v>44.4</v>
      </c>
      <c r="Y50" s="52">
        <v>4.5199999999999996</v>
      </c>
      <c r="Z50" s="52">
        <v>29.04</v>
      </c>
      <c r="AA50" s="52">
        <v>2.2599999999999998</v>
      </c>
      <c r="AB50" s="52">
        <v>13.2</v>
      </c>
      <c r="AC50" s="52">
        <v>0.65</v>
      </c>
      <c r="AD50" s="52">
        <v>0.35</v>
      </c>
      <c r="AE50" s="52">
        <v>0.1</v>
      </c>
      <c r="AF50" s="52">
        <v>0.79</v>
      </c>
      <c r="AG50" s="52">
        <v>0.24</v>
      </c>
      <c r="AH50" s="52">
        <v>0.12</v>
      </c>
      <c r="AI50" s="52">
        <v>0.28999999999999998</v>
      </c>
      <c r="AJ50" s="52">
        <v>0.14000000000000001</v>
      </c>
    </row>
    <row r="51" spans="1:36" ht="25" customHeight="1" x14ac:dyDescent="0.2">
      <c r="A51" s="51">
        <v>48</v>
      </c>
      <c r="B51" s="52">
        <v>6583449.6000000006</v>
      </c>
      <c r="C51" s="52">
        <v>5776243.2000000002</v>
      </c>
      <c r="D51" s="52">
        <v>3030924</v>
      </c>
      <c r="E51" s="52">
        <v>2263875.12</v>
      </c>
      <c r="F51" s="52">
        <v>530534.39999999991</v>
      </c>
      <c r="G51" s="52">
        <v>675225.60000000009</v>
      </c>
      <c r="H51" s="52">
        <v>753534.39999999991</v>
      </c>
      <c r="I51" s="52">
        <v>433747.1999999999</v>
      </c>
      <c r="J51" s="52">
        <v>624172.80000000005</v>
      </c>
      <c r="K51" s="52">
        <v>691747.2</v>
      </c>
      <c r="L51" s="52">
        <v>49960.260000000046</v>
      </c>
      <c r="M51" s="52">
        <v>505153.73999999993</v>
      </c>
      <c r="N51" s="52">
        <v>223565.26000000004</v>
      </c>
      <c r="O51" s="52">
        <v>199021.91999999998</v>
      </c>
      <c r="P51" s="52">
        <v>215607.08000000002</v>
      </c>
      <c r="Q51" s="52">
        <v>247996.91999999998</v>
      </c>
      <c r="R51" s="52">
        <v>102.47999999999999</v>
      </c>
      <c r="S51" s="52">
        <v>175.56</v>
      </c>
      <c r="T51" s="52">
        <v>103.32</v>
      </c>
      <c r="U51" s="52">
        <v>56.25</v>
      </c>
      <c r="V51" s="52">
        <v>91.5</v>
      </c>
      <c r="W51" s="52">
        <v>36.9</v>
      </c>
      <c r="X51" s="52">
        <v>69.599999999999994</v>
      </c>
      <c r="Y51" s="52">
        <v>4.5199999999999996</v>
      </c>
      <c r="Z51" s="52">
        <v>29.7</v>
      </c>
      <c r="AA51" s="52">
        <v>2.2599999999999998</v>
      </c>
      <c r="AB51" s="52">
        <v>13.5</v>
      </c>
      <c r="AC51" s="52">
        <v>0.89</v>
      </c>
      <c r="AD51" s="52">
        <v>0.24</v>
      </c>
      <c r="AE51" s="52">
        <v>0.32</v>
      </c>
      <c r="AF51" s="52">
        <v>0.78</v>
      </c>
      <c r="AG51" s="52">
        <v>0.28999999999999998</v>
      </c>
      <c r="AH51" s="52">
        <v>0.28000000000000003</v>
      </c>
      <c r="AI51" s="52">
        <v>0.27</v>
      </c>
      <c r="AJ51" s="52">
        <v>0.13</v>
      </c>
    </row>
    <row r="52" spans="1:36" ht="25" customHeight="1" x14ac:dyDescent="0.2">
      <c r="A52" s="51">
        <v>49</v>
      </c>
      <c r="B52" s="52">
        <v>6203635.2000000002</v>
      </c>
      <c r="C52" s="52">
        <v>5442998.3999999994</v>
      </c>
      <c r="D52" s="52">
        <v>2856063</v>
      </c>
      <c r="E52" s="52">
        <v>2133266.94</v>
      </c>
      <c r="F52" s="52">
        <v>241151.99999999994</v>
      </c>
      <c r="G52" s="52">
        <v>964608</v>
      </c>
      <c r="H52" s="52">
        <v>464151.99999999994</v>
      </c>
      <c r="I52" s="52">
        <v>105792.00000000009</v>
      </c>
      <c r="J52" s="52">
        <v>952127.99999999988</v>
      </c>
      <c r="K52" s="52">
        <v>363792.00000000012</v>
      </c>
      <c r="L52" s="52">
        <v>266454.71999999997</v>
      </c>
      <c r="M52" s="52">
        <v>288659.28000000003</v>
      </c>
      <c r="N52" s="52">
        <v>440059.72</v>
      </c>
      <c r="O52" s="52">
        <v>153412.73000000004</v>
      </c>
      <c r="P52" s="52">
        <v>261216.26999999996</v>
      </c>
      <c r="Q52" s="52">
        <v>202387.73000000004</v>
      </c>
      <c r="R52" s="52">
        <v>48.800000000000004</v>
      </c>
      <c r="S52" s="52">
        <v>83.600000000000009</v>
      </c>
      <c r="T52" s="52">
        <v>49.2</v>
      </c>
      <c r="U52" s="52">
        <v>21.75</v>
      </c>
      <c r="V52" s="52">
        <v>35.379999999999995</v>
      </c>
      <c r="W52" s="52">
        <v>41.1</v>
      </c>
      <c r="X52" s="52">
        <v>78</v>
      </c>
      <c r="Y52" s="52">
        <v>3.08</v>
      </c>
      <c r="Z52" s="52">
        <v>40.589999999999996</v>
      </c>
      <c r="AA52" s="52">
        <v>1.54</v>
      </c>
      <c r="AB52" s="52">
        <v>18.45</v>
      </c>
      <c r="AC52" s="52">
        <v>0.89</v>
      </c>
      <c r="AD52" s="52">
        <v>0.22</v>
      </c>
      <c r="AE52" s="52">
        <v>0.18</v>
      </c>
      <c r="AF52" s="52">
        <v>0.89</v>
      </c>
      <c r="AG52" s="52">
        <v>0.23</v>
      </c>
      <c r="AH52" s="52">
        <v>0.17</v>
      </c>
      <c r="AI52" s="52">
        <v>0.24</v>
      </c>
      <c r="AJ52" s="52">
        <v>0.12</v>
      </c>
    </row>
    <row r="53" spans="1:36" ht="25" customHeight="1" x14ac:dyDescent="0.2">
      <c r="A53" s="51">
        <v>50</v>
      </c>
      <c r="B53" s="52">
        <v>7343078.3999999994</v>
      </c>
      <c r="C53" s="52">
        <v>6442732.7999999998</v>
      </c>
      <c r="D53" s="52">
        <v>3380645.9999999995</v>
      </c>
      <c r="E53" s="52">
        <v>2525091.48</v>
      </c>
      <c r="F53" s="52">
        <v>48230.400000000045</v>
      </c>
      <c r="G53" s="52">
        <v>1157529.5999999999</v>
      </c>
      <c r="H53" s="52">
        <v>271230.40000000002</v>
      </c>
      <c r="I53" s="52">
        <v>63475.200000000055</v>
      </c>
      <c r="J53" s="52">
        <v>994444.79999999993</v>
      </c>
      <c r="K53" s="52">
        <v>321475.20000000007</v>
      </c>
      <c r="L53" s="52">
        <v>160983.06000000003</v>
      </c>
      <c r="M53" s="52">
        <v>394130.93999999994</v>
      </c>
      <c r="N53" s="52">
        <v>334588.06000000006</v>
      </c>
      <c r="O53" s="52">
        <v>161705.30999999997</v>
      </c>
      <c r="P53" s="52">
        <v>252923.69000000003</v>
      </c>
      <c r="Q53" s="52">
        <v>210680.30999999997</v>
      </c>
      <c r="R53" s="52">
        <v>75.64</v>
      </c>
      <c r="S53" s="52">
        <v>129.58000000000001</v>
      </c>
      <c r="T53" s="52">
        <v>76.260000000000005</v>
      </c>
      <c r="U53" s="52">
        <v>33.75</v>
      </c>
      <c r="V53" s="52">
        <v>54.9</v>
      </c>
      <c r="W53" s="52">
        <v>27.900000000000002</v>
      </c>
      <c r="X53" s="52">
        <v>43.8</v>
      </c>
      <c r="Y53" s="52">
        <v>3.04</v>
      </c>
      <c r="Z53" s="52">
        <v>36.96</v>
      </c>
      <c r="AA53" s="52">
        <v>1.52</v>
      </c>
      <c r="AB53" s="52">
        <v>16.8</v>
      </c>
      <c r="AC53" s="52">
        <v>0.72</v>
      </c>
      <c r="AD53" s="52">
        <v>0.38</v>
      </c>
      <c r="AE53" s="52">
        <v>0.34</v>
      </c>
      <c r="AF53" s="52">
        <v>0.77</v>
      </c>
      <c r="AG53" s="52">
        <v>0.28000000000000003</v>
      </c>
      <c r="AH53" s="52">
        <v>0.11</v>
      </c>
      <c r="AI53" s="52">
        <v>0.26</v>
      </c>
      <c r="AJ53" s="52">
        <v>0.14000000000000001</v>
      </c>
    </row>
    <row r="54" spans="1:36" ht="25" customHeight="1" x14ac:dyDescent="0.2">
      <c r="A54" s="51">
        <v>51</v>
      </c>
      <c r="B54" s="52">
        <v>6013728</v>
      </c>
      <c r="C54" s="52">
        <v>5276376</v>
      </c>
      <c r="D54" s="52">
        <v>2768632.5</v>
      </c>
      <c r="E54" s="52">
        <v>2067962.8499999999</v>
      </c>
      <c r="F54" s="52">
        <v>325555.20000000001</v>
      </c>
      <c r="G54" s="52">
        <v>880204.80000000005</v>
      </c>
      <c r="H54" s="52">
        <v>548555.19999999995</v>
      </c>
      <c r="I54" s="52">
        <v>169267.19999999992</v>
      </c>
      <c r="J54" s="52">
        <v>888652.80000000005</v>
      </c>
      <c r="K54" s="52">
        <v>427267.19999999995</v>
      </c>
      <c r="L54" s="52">
        <v>216494.45999999993</v>
      </c>
      <c r="M54" s="52">
        <v>338619.54000000004</v>
      </c>
      <c r="N54" s="52">
        <v>390099.45999999996</v>
      </c>
      <c r="O54" s="52">
        <v>107803.54000000001</v>
      </c>
      <c r="P54" s="52">
        <v>306825.45999999996</v>
      </c>
      <c r="Q54" s="52">
        <v>156778.54</v>
      </c>
      <c r="R54" s="52">
        <v>97.600000000000009</v>
      </c>
      <c r="S54" s="52">
        <v>167.20000000000002</v>
      </c>
      <c r="T54" s="52">
        <v>98.4</v>
      </c>
      <c r="U54" s="52">
        <v>28.5</v>
      </c>
      <c r="V54" s="52">
        <v>46.36</v>
      </c>
      <c r="W54" s="52">
        <v>22.2</v>
      </c>
      <c r="X54" s="52">
        <v>78.600000000000009</v>
      </c>
      <c r="Y54" s="52">
        <v>3.28</v>
      </c>
      <c r="Z54" s="52">
        <v>35.31</v>
      </c>
      <c r="AA54" s="52">
        <v>1.64</v>
      </c>
      <c r="AB54" s="52">
        <v>16.05</v>
      </c>
      <c r="AC54" s="52">
        <v>0.75</v>
      </c>
      <c r="AD54" s="52">
        <v>0.13</v>
      </c>
      <c r="AE54" s="52">
        <v>0.19</v>
      </c>
      <c r="AF54" s="52">
        <v>0.66</v>
      </c>
      <c r="AG54" s="52">
        <v>0.1</v>
      </c>
      <c r="AH54" s="52">
        <v>0.28999999999999998</v>
      </c>
      <c r="AI54" s="52">
        <v>0.22</v>
      </c>
      <c r="AJ54" s="52">
        <v>0.18</v>
      </c>
    </row>
    <row r="55" spans="1:36" ht="25" customHeight="1" x14ac:dyDescent="0.2">
      <c r="A55" s="51">
        <v>52</v>
      </c>
      <c r="B55" s="52">
        <v>7659590.3999999994</v>
      </c>
      <c r="C55" s="52">
        <v>6720436.7999999998</v>
      </c>
      <c r="D55" s="52">
        <v>3526363.5</v>
      </c>
      <c r="E55" s="52">
        <v>2633931.63</v>
      </c>
      <c r="F55" s="52">
        <v>494361.59999999992</v>
      </c>
      <c r="G55" s="52">
        <v>711398.40000000014</v>
      </c>
      <c r="H55" s="52">
        <v>717361.59999999986</v>
      </c>
      <c r="I55" s="52">
        <v>74054.400000000067</v>
      </c>
      <c r="J55" s="52">
        <v>983865.6</v>
      </c>
      <c r="K55" s="52">
        <v>332054.40000000008</v>
      </c>
      <c r="L55" s="52">
        <v>244250.15999999997</v>
      </c>
      <c r="M55" s="52">
        <v>310863.84000000003</v>
      </c>
      <c r="N55" s="52">
        <v>417855.16</v>
      </c>
      <c r="O55" s="52">
        <v>157559.01999999996</v>
      </c>
      <c r="P55" s="52">
        <v>257069.98000000004</v>
      </c>
      <c r="Q55" s="52">
        <v>206534.01999999996</v>
      </c>
      <c r="R55" s="52">
        <v>100.03999999999999</v>
      </c>
      <c r="S55" s="52">
        <v>171.38</v>
      </c>
      <c r="T55" s="52">
        <v>100.86</v>
      </c>
      <c r="U55" s="52">
        <v>36</v>
      </c>
      <c r="V55" s="52">
        <v>58.559999999999995</v>
      </c>
      <c r="W55" s="52">
        <v>31.200000000000003</v>
      </c>
      <c r="X55" s="52">
        <v>52.8</v>
      </c>
      <c r="Y55" s="52">
        <v>3.32</v>
      </c>
      <c r="Z55" s="52">
        <v>38.94</v>
      </c>
      <c r="AA55" s="52">
        <v>1.66</v>
      </c>
      <c r="AB55" s="52">
        <v>17.7</v>
      </c>
      <c r="AC55" s="52">
        <v>0.71</v>
      </c>
      <c r="AD55" s="52">
        <v>0.33</v>
      </c>
      <c r="AE55" s="52">
        <v>0.26</v>
      </c>
      <c r="AF55" s="52">
        <v>0.62</v>
      </c>
      <c r="AG55" s="52">
        <v>0.19</v>
      </c>
      <c r="AH55" s="52">
        <v>0.39</v>
      </c>
      <c r="AI55" s="52">
        <v>0.27</v>
      </c>
      <c r="AJ55" s="52">
        <v>0.19</v>
      </c>
    </row>
    <row r="56" spans="1:36" ht="25" customHeight="1" x14ac:dyDescent="0.2">
      <c r="A56" s="51">
        <v>53</v>
      </c>
      <c r="B56" s="52">
        <v>5760518.4000000004</v>
      </c>
      <c r="C56" s="52">
        <v>5054212.8</v>
      </c>
      <c r="D56" s="52">
        <v>2652058.5</v>
      </c>
      <c r="E56" s="52">
        <v>1980890.73</v>
      </c>
      <c r="F56" s="52">
        <v>120576.0000000001</v>
      </c>
      <c r="G56" s="52">
        <v>1085184</v>
      </c>
      <c r="H56" s="52">
        <v>343576.00000000012</v>
      </c>
      <c r="I56" s="52">
        <v>317376.00000000006</v>
      </c>
      <c r="J56" s="52">
        <v>740544</v>
      </c>
      <c r="K56" s="52">
        <v>575376</v>
      </c>
      <c r="L56" s="52">
        <v>138778.5</v>
      </c>
      <c r="M56" s="52">
        <v>416335.5</v>
      </c>
      <c r="N56" s="52">
        <v>312383.5</v>
      </c>
      <c r="O56" s="52">
        <v>199021.91999999998</v>
      </c>
      <c r="P56" s="52">
        <v>215607.08000000002</v>
      </c>
      <c r="Q56" s="52">
        <v>247996.91999999998</v>
      </c>
      <c r="R56" s="52">
        <v>31.720000000000002</v>
      </c>
      <c r="S56" s="52">
        <v>54.34</v>
      </c>
      <c r="T56" s="52">
        <v>31.98</v>
      </c>
      <c r="U56" s="52">
        <v>38.25</v>
      </c>
      <c r="V56" s="52">
        <v>62.22</v>
      </c>
      <c r="W56" s="52">
        <v>37.799999999999997</v>
      </c>
      <c r="X56" s="52">
        <v>39.6</v>
      </c>
      <c r="Y56" s="52">
        <v>4.5599999999999996</v>
      </c>
      <c r="Z56" s="52">
        <v>34.32</v>
      </c>
      <c r="AA56" s="52">
        <v>2.2799999999999998</v>
      </c>
      <c r="AB56" s="52">
        <v>15.600000000000001</v>
      </c>
      <c r="AC56" s="52">
        <v>0.81</v>
      </c>
      <c r="AD56" s="52">
        <v>0.21</v>
      </c>
      <c r="AE56" s="52">
        <v>0.13</v>
      </c>
      <c r="AF56" s="52">
        <v>0.7</v>
      </c>
      <c r="AG56" s="52">
        <v>0.28999999999999998</v>
      </c>
      <c r="AH56" s="52">
        <v>0.15</v>
      </c>
      <c r="AI56" s="52">
        <v>0.21</v>
      </c>
      <c r="AJ56" s="52">
        <v>0.27</v>
      </c>
    </row>
    <row r="57" spans="1:36" ht="25" customHeight="1" x14ac:dyDescent="0.2">
      <c r="A57" s="51">
        <v>54</v>
      </c>
      <c r="B57" s="52">
        <v>7469683.1999999993</v>
      </c>
      <c r="C57" s="52">
        <v>6553814.3999999994</v>
      </c>
      <c r="D57" s="52">
        <v>3438933</v>
      </c>
      <c r="E57" s="52">
        <v>2568627.54</v>
      </c>
      <c r="F57" s="52">
        <v>72345.600000000064</v>
      </c>
      <c r="G57" s="52">
        <v>1133414.3999999999</v>
      </c>
      <c r="H57" s="52">
        <v>295345.60000000009</v>
      </c>
      <c r="I57" s="52">
        <v>486643.19999999995</v>
      </c>
      <c r="J57" s="52">
        <v>571276.80000000005</v>
      </c>
      <c r="K57" s="52">
        <v>744643.2</v>
      </c>
      <c r="L57" s="52">
        <v>172085.34000000003</v>
      </c>
      <c r="M57" s="52">
        <v>383028.66</v>
      </c>
      <c r="N57" s="52">
        <v>345690.34</v>
      </c>
      <c r="O57" s="52">
        <v>190729.34</v>
      </c>
      <c r="P57" s="52">
        <v>223899.66</v>
      </c>
      <c r="Q57" s="52">
        <v>239704.34</v>
      </c>
      <c r="R57" s="52">
        <v>30.5</v>
      </c>
      <c r="S57" s="52">
        <v>52.25</v>
      </c>
      <c r="T57" s="52">
        <v>30.75</v>
      </c>
      <c r="U57" s="52">
        <v>24</v>
      </c>
      <c r="V57" s="52">
        <v>39.04</v>
      </c>
      <c r="W57" s="52">
        <v>20.400000000000002</v>
      </c>
      <c r="X57" s="52">
        <v>61.800000000000004</v>
      </c>
      <c r="Y57" s="52">
        <v>4</v>
      </c>
      <c r="Z57" s="52">
        <v>35.64</v>
      </c>
      <c r="AA57" s="52">
        <v>2</v>
      </c>
      <c r="AB57" s="52">
        <v>16.200000000000003</v>
      </c>
      <c r="AC57" s="52">
        <v>0.68</v>
      </c>
      <c r="AD57" s="52">
        <v>0.25</v>
      </c>
      <c r="AE57" s="52">
        <v>0.39</v>
      </c>
      <c r="AF57" s="52">
        <v>0.73</v>
      </c>
      <c r="AG57" s="52">
        <v>0.38</v>
      </c>
      <c r="AH57" s="52">
        <v>0.19</v>
      </c>
      <c r="AI57" s="52">
        <v>0.16</v>
      </c>
      <c r="AJ57" s="52">
        <v>0.25</v>
      </c>
    </row>
    <row r="58" spans="1:36" ht="25" customHeight="1" x14ac:dyDescent="0.2">
      <c r="A58" s="51">
        <v>55</v>
      </c>
      <c r="B58" s="52">
        <v>5380704</v>
      </c>
      <c r="C58" s="52">
        <v>4720968</v>
      </c>
      <c r="D58" s="52">
        <v>2477197.5</v>
      </c>
      <c r="E58" s="52">
        <v>1850282.55</v>
      </c>
      <c r="F58" s="52">
        <v>409958.40000000008</v>
      </c>
      <c r="G58" s="52">
        <v>795801.59999999986</v>
      </c>
      <c r="H58" s="52">
        <v>632958.40000000014</v>
      </c>
      <c r="I58" s="52">
        <v>285638.40000000002</v>
      </c>
      <c r="J58" s="52">
        <v>772281.6</v>
      </c>
      <c r="K58" s="52">
        <v>543638.4</v>
      </c>
      <c r="L58" s="52">
        <v>188738.76000000004</v>
      </c>
      <c r="M58" s="52">
        <v>366375.24</v>
      </c>
      <c r="N58" s="52">
        <v>362343.76</v>
      </c>
      <c r="O58" s="52">
        <v>203168.21</v>
      </c>
      <c r="P58" s="52">
        <v>211460.79</v>
      </c>
      <c r="Q58" s="52">
        <v>252143.21</v>
      </c>
      <c r="R58" s="52">
        <v>107.36</v>
      </c>
      <c r="S58" s="52">
        <v>183.92</v>
      </c>
      <c r="T58" s="52">
        <v>108.24</v>
      </c>
      <c r="U58" s="52">
        <v>41.25</v>
      </c>
      <c r="V58" s="52">
        <v>67.100000000000009</v>
      </c>
      <c r="W58" s="52">
        <v>19.5</v>
      </c>
      <c r="X58" s="52">
        <v>46.2</v>
      </c>
      <c r="Y58" s="52">
        <v>4.6399999999999997</v>
      </c>
      <c r="Z58" s="52">
        <v>38.279999999999994</v>
      </c>
      <c r="AA58" s="52">
        <v>2.3199999999999998</v>
      </c>
      <c r="AB58" s="52">
        <v>17.399999999999999</v>
      </c>
      <c r="AC58" s="52">
        <v>0.81</v>
      </c>
      <c r="AD58" s="52">
        <v>0.16</v>
      </c>
      <c r="AE58" s="52">
        <v>0.12</v>
      </c>
      <c r="AF58" s="52">
        <v>0.9</v>
      </c>
      <c r="AG58" s="52">
        <v>0.21</v>
      </c>
      <c r="AH58" s="52">
        <v>0.28999999999999998</v>
      </c>
      <c r="AI58" s="52">
        <v>0.14000000000000001</v>
      </c>
      <c r="AJ58" s="52">
        <v>0.22</v>
      </c>
    </row>
    <row r="59" spans="1:36" ht="25" customHeight="1" x14ac:dyDescent="0.2">
      <c r="A59" s="51">
        <v>56</v>
      </c>
      <c r="B59" s="52">
        <v>7532985.5999999996</v>
      </c>
      <c r="C59" s="52">
        <v>6609355.1999999993</v>
      </c>
      <c r="D59" s="52">
        <v>3468076.5</v>
      </c>
      <c r="E59" s="52">
        <v>2590395.5699999998</v>
      </c>
      <c r="F59" s="52">
        <v>518476.79999999993</v>
      </c>
      <c r="G59" s="52">
        <v>687283.20000000007</v>
      </c>
      <c r="H59" s="52">
        <v>741476.79999999993</v>
      </c>
      <c r="I59" s="52">
        <v>433747.1999999999</v>
      </c>
      <c r="J59" s="52">
        <v>624172.80000000005</v>
      </c>
      <c r="K59" s="52">
        <v>691747.2</v>
      </c>
      <c r="L59" s="52">
        <v>227596.73999999996</v>
      </c>
      <c r="M59" s="52">
        <v>327517.26</v>
      </c>
      <c r="N59" s="52">
        <v>401201.74</v>
      </c>
      <c r="O59" s="52">
        <v>203168.21</v>
      </c>
      <c r="P59" s="52">
        <v>211460.79</v>
      </c>
      <c r="Q59" s="52">
        <v>252143.21</v>
      </c>
      <c r="R59" s="52">
        <v>117.11999999999999</v>
      </c>
      <c r="S59" s="52">
        <v>200.64</v>
      </c>
      <c r="T59" s="52">
        <v>118.08</v>
      </c>
      <c r="U59" s="52">
        <v>41.25</v>
      </c>
      <c r="V59" s="52">
        <v>67.100000000000009</v>
      </c>
      <c r="W59" s="52">
        <v>32.700000000000003</v>
      </c>
      <c r="X59" s="52">
        <v>63.6</v>
      </c>
      <c r="Y59" s="52">
        <v>4.76</v>
      </c>
      <c r="Z59" s="52">
        <v>36.630000000000003</v>
      </c>
      <c r="AA59" s="52">
        <v>2.38</v>
      </c>
      <c r="AB59" s="52">
        <v>16.650000000000002</v>
      </c>
      <c r="AC59" s="52">
        <v>0.66</v>
      </c>
      <c r="AD59" s="52">
        <v>0.3</v>
      </c>
      <c r="AE59" s="52">
        <v>0.4</v>
      </c>
      <c r="AF59" s="52">
        <v>0.76</v>
      </c>
      <c r="AG59" s="52">
        <v>0.13</v>
      </c>
      <c r="AH59" s="52">
        <v>0.24</v>
      </c>
      <c r="AI59" s="52">
        <v>0.18</v>
      </c>
      <c r="AJ59" s="52">
        <v>0.26</v>
      </c>
    </row>
    <row r="60" spans="1:36" ht="25" customHeight="1" x14ac:dyDescent="0.2">
      <c r="A60" s="51">
        <v>57</v>
      </c>
      <c r="B60" s="52">
        <v>5254099.2</v>
      </c>
      <c r="C60" s="52">
        <v>4609886.3999999994</v>
      </c>
      <c r="D60" s="52">
        <v>2418910.5</v>
      </c>
      <c r="E60" s="52">
        <v>1806746.49</v>
      </c>
      <c r="F60" s="52">
        <v>60288.000000000051</v>
      </c>
      <c r="G60" s="52">
        <v>1145472</v>
      </c>
      <c r="H60" s="52">
        <v>283288.00000000006</v>
      </c>
      <c r="I60" s="52">
        <v>179846.39999999994</v>
      </c>
      <c r="J60" s="52">
        <v>878073.60000000009</v>
      </c>
      <c r="K60" s="52">
        <v>437846.39999999991</v>
      </c>
      <c r="L60" s="52">
        <v>188738.76000000004</v>
      </c>
      <c r="M60" s="52">
        <v>366375.24</v>
      </c>
      <c r="N60" s="52">
        <v>362343.76</v>
      </c>
      <c r="O60" s="52">
        <v>124388.70000000001</v>
      </c>
      <c r="P60" s="52">
        <v>290240.3</v>
      </c>
      <c r="Q60" s="52">
        <v>173363.7</v>
      </c>
      <c r="R60" s="52">
        <v>62.22</v>
      </c>
      <c r="S60" s="52">
        <v>106.59</v>
      </c>
      <c r="T60" s="52">
        <v>62.730000000000004</v>
      </c>
      <c r="U60" s="52">
        <v>73.5</v>
      </c>
      <c r="V60" s="52">
        <v>119.56</v>
      </c>
      <c r="W60" s="52">
        <v>33.6</v>
      </c>
      <c r="X60" s="52">
        <v>76.2</v>
      </c>
      <c r="Y60" s="52">
        <v>3.28</v>
      </c>
      <c r="Z60" s="52">
        <v>40.589999999999996</v>
      </c>
      <c r="AA60" s="52">
        <v>1.64</v>
      </c>
      <c r="AB60" s="52">
        <v>18.45</v>
      </c>
      <c r="AC60" s="52">
        <v>0.64</v>
      </c>
      <c r="AD60" s="52">
        <v>0.14000000000000001</v>
      </c>
      <c r="AE60" s="52">
        <v>0.21</v>
      </c>
      <c r="AF60" s="52">
        <v>0.77</v>
      </c>
      <c r="AG60" s="52">
        <v>0.12</v>
      </c>
      <c r="AH60" s="52">
        <v>0.16</v>
      </c>
      <c r="AI60" s="52">
        <v>0.15</v>
      </c>
      <c r="AJ60" s="52">
        <v>0.12</v>
      </c>
    </row>
    <row r="61" spans="1:36" ht="25" customHeight="1" x14ac:dyDescent="0.2">
      <c r="A61" s="51">
        <v>58</v>
      </c>
      <c r="B61" s="52">
        <v>6836659.2000000002</v>
      </c>
      <c r="C61" s="52">
        <v>5998406.4000000004</v>
      </c>
      <c r="D61" s="52">
        <v>3147498</v>
      </c>
      <c r="E61" s="52">
        <v>2350947.2400000002</v>
      </c>
      <c r="F61" s="52">
        <v>241151.99999999994</v>
      </c>
      <c r="G61" s="52">
        <v>964608</v>
      </c>
      <c r="H61" s="52">
        <v>464151.99999999994</v>
      </c>
      <c r="I61" s="52">
        <v>52896.000000000044</v>
      </c>
      <c r="J61" s="52">
        <v>1005024</v>
      </c>
      <c r="K61" s="52">
        <v>310896.00000000006</v>
      </c>
      <c r="L61" s="52">
        <v>238699.01999999996</v>
      </c>
      <c r="M61" s="52">
        <v>316414.98000000004</v>
      </c>
      <c r="N61" s="52">
        <v>412304.01999999996</v>
      </c>
      <c r="O61" s="52">
        <v>120242.41000000002</v>
      </c>
      <c r="P61" s="52">
        <v>294386.58999999997</v>
      </c>
      <c r="Q61" s="52">
        <v>169217.41000000003</v>
      </c>
      <c r="R61" s="52">
        <v>31.720000000000002</v>
      </c>
      <c r="S61" s="52">
        <v>54.34</v>
      </c>
      <c r="T61" s="52">
        <v>31.98</v>
      </c>
      <c r="U61" s="52">
        <v>70.5</v>
      </c>
      <c r="V61" s="52">
        <v>114.67999999999999</v>
      </c>
      <c r="W61" s="52">
        <v>22.5</v>
      </c>
      <c r="X61" s="52">
        <v>48.6</v>
      </c>
      <c r="Y61" s="52">
        <v>3.52</v>
      </c>
      <c r="Z61" s="52">
        <v>37.949999999999996</v>
      </c>
      <c r="AA61" s="52">
        <v>1.76</v>
      </c>
      <c r="AB61" s="52">
        <v>17.25</v>
      </c>
      <c r="AC61" s="52">
        <v>0.84</v>
      </c>
      <c r="AD61" s="52">
        <v>0.28999999999999998</v>
      </c>
      <c r="AE61" s="52">
        <v>0.27</v>
      </c>
      <c r="AF61" s="52">
        <v>0.77</v>
      </c>
      <c r="AG61" s="52">
        <v>0.19</v>
      </c>
      <c r="AH61" s="52">
        <v>0.12</v>
      </c>
      <c r="AI61" s="52">
        <v>0.17</v>
      </c>
      <c r="AJ61" s="52">
        <v>0.12</v>
      </c>
    </row>
    <row r="62" spans="1:36" ht="25" customHeight="1" x14ac:dyDescent="0.2">
      <c r="A62" s="51">
        <v>59</v>
      </c>
      <c r="B62" s="52">
        <v>5064192</v>
      </c>
      <c r="C62" s="52">
        <v>4443264</v>
      </c>
      <c r="D62" s="52">
        <v>2331480</v>
      </c>
      <c r="E62" s="52">
        <v>1741442.4000000001</v>
      </c>
      <c r="F62" s="52">
        <v>506419.1999999999</v>
      </c>
      <c r="G62" s="52">
        <v>699340.80000000005</v>
      </c>
      <c r="H62" s="52">
        <v>729419.2</v>
      </c>
      <c r="I62" s="52">
        <v>222163.19999999995</v>
      </c>
      <c r="J62" s="52">
        <v>835756.8</v>
      </c>
      <c r="K62" s="52">
        <v>480163.19999999995</v>
      </c>
      <c r="L62" s="52">
        <v>260903.58</v>
      </c>
      <c r="M62" s="52">
        <v>294210.42000000004</v>
      </c>
      <c r="N62" s="52">
        <v>434508.57999999996</v>
      </c>
      <c r="O62" s="52">
        <v>207314.5</v>
      </c>
      <c r="P62" s="52">
        <v>207314.5</v>
      </c>
      <c r="Q62" s="52">
        <v>256289.5</v>
      </c>
      <c r="R62" s="52">
        <v>82.960000000000008</v>
      </c>
      <c r="S62" s="52">
        <v>142.12</v>
      </c>
      <c r="T62" s="52">
        <v>83.64</v>
      </c>
      <c r="U62" s="52">
        <v>59.25</v>
      </c>
      <c r="V62" s="52">
        <v>96.38000000000001</v>
      </c>
      <c r="W62" s="52">
        <v>26.7</v>
      </c>
      <c r="X62" s="52">
        <v>62.400000000000006</v>
      </c>
      <c r="Y62" s="52">
        <v>3.56</v>
      </c>
      <c r="Z62" s="52">
        <v>41.25</v>
      </c>
      <c r="AA62" s="52">
        <v>1.78</v>
      </c>
      <c r="AB62" s="52">
        <v>18.75</v>
      </c>
      <c r="AC62" s="52">
        <v>0.65</v>
      </c>
      <c r="AD62" s="52">
        <v>0.14000000000000001</v>
      </c>
      <c r="AE62" s="52">
        <v>0.2</v>
      </c>
      <c r="AF62" s="52">
        <v>0.66</v>
      </c>
      <c r="AG62" s="52">
        <v>0.35</v>
      </c>
      <c r="AH62" s="52">
        <v>0.36</v>
      </c>
      <c r="AI62" s="52">
        <v>0.11</v>
      </c>
      <c r="AJ62" s="52">
        <v>0.2</v>
      </c>
    </row>
    <row r="63" spans="1:36" ht="25" customHeight="1" x14ac:dyDescent="0.2">
      <c r="A63" s="51">
        <v>60</v>
      </c>
      <c r="B63" s="52">
        <v>6646752</v>
      </c>
      <c r="C63" s="52">
        <v>5831784</v>
      </c>
      <c r="D63" s="52">
        <v>3060067.5</v>
      </c>
      <c r="E63" s="52">
        <v>2285643.15</v>
      </c>
      <c r="F63" s="52">
        <v>397900.8000000001</v>
      </c>
      <c r="G63" s="52">
        <v>807859.19999999995</v>
      </c>
      <c r="H63" s="52">
        <v>620900.80000000005</v>
      </c>
      <c r="I63" s="52">
        <v>232742.39999999997</v>
      </c>
      <c r="J63" s="52">
        <v>825177.60000000009</v>
      </c>
      <c r="K63" s="52">
        <v>490742.39999999997</v>
      </c>
      <c r="L63" s="52">
        <v>233147.87999999995</v>
      </c>
      <c r="M63" s="52">
        <v>321966.12000000005</v>
      </c>
      <c r="N63" s="52">
        <v>406752.87999999995</v>
      </c>
      <c r="O63" s="52">
        <v>145120.15000000002</v>
      </c>
      <c r="P63" s="52">
        <v>269508.84999999998</v>
      </c>
      <c r="Q63" s="52">
        <v>194095.15000000002</v>
      </c>
      <c r="R63" s="52">
        <v>86.61999999999999</v>
      </c>
      <c r="S63" s="52">
        <v>148.38999999999999</v>
      </c>
      <c r="T63" s="52">
        <v>87.33</v>
      </c>
      <c r="U63" s="52">
        <v>68.25</v>
      </c>
      <c r="V63" s="52">
        <v>111.02000000000001</v>
      </c>
      <c r="W63" s="52">
        <v>39.900000000000006</v>
      </c>
      <c r="X63" s="52">
        <v>54.6</v>
      </c>
      <c r="Y63" s="52">
        <v>3.88</v>
      </c>
      <c r="Z63" s="52">
        <v>39.269999999999996</v>
      </c>
      <c r="AA63" s="52">
        <v>1.94</v>
      </c>
      <c r="AB63" s="52">
        <v>17.849999999999998</v>
      </c>
      <c r="AC63" s="52">
        <v>0.8</v>
      </c>
      <c r="AD63" s="52">
        <v>0.38</v>
      </c>
      <c r="AE63" s="52">
        <v>0.39</v>
      </c>
      <c r="AF63" s="52">
        <v>0.68</v>
      </c>
      <c r="AG63" s="52">
        <v>0.33</v>
      </c>
      <c r="AH63" s="52">
        <v>0.31</v>
      </c>
      <c r="AI63" s="52">
        <v>0.19</v>
      </c>
      <c r="AJ63" s="52">
        <v>0.16</v>
      </c>
    </row>
    <row r="64" spans="1:36" ht="25" customHeight="1" x14ac:dyDescent="0.2">
      <c r="A64" s="51">
        <v>61</v>
      </c>
      <c r="B64" s="52">
        <v>6077030.3999999994</v>
      </c>
      <c r="C64" s="52">
        <v>5331916.7999999998</v>
      </c>
      <c r="D64" s="52">
        <v>2797776</v>
      </c>
      <c r="E64" s="52">
        <v>2089730.88</v>
      </c>
      <c r="F64" s="52">
        <v>204979.19999999992</v>
      </c>
      <c r="G64" s="52">
        <v>1000780.8</v>
      </c>
      <c r="H64" s="52">
        <v>427979.19999999995</v>
      </c>
      <c r="I64" s="52">
        <v>476063.99999999994</v>
      </c>
      <c r="J64" s="52">
        <v>581856</v>
      </c>
      <c r="K64" s="52">
        <v>734064</v>
      </c>
      <c r="L64" s="52">
        <v>177636.48000000004</v>
      </c>
      <c r="M64" s="52">
        <v>377477.51999999996</v>
      </c>
      <c r="N64" s="52">
        <v>351241.48000000004</v>
      </c>
      <c r="O64" s="52">
        <v>116096.12000000001</v>
      </c>
      <c r="P64" s="52">
        <v>298532.88</v>
      </c>
      <c r="Q64" s="52">
        <v>165071.12</v>
      </c>
      <c r="R64" s="52">
        <v>37.82</v>
      </c>
      <c r="S64" s="52">
        <v>64.790000000000006</v>
      </c>
      <c r="T64" s="52">
        <v>38.130000000000003</v>
      </c>
      <c r="U64" s="52">
        <v>63.75</v>
      </c>
      <c r="V64" s="52">
        <v>103.7</v>
      </c>
      <c r="W64" s="52">
        <v>39.300000000000004</v>
      </c>
      <c r="X64" s="52">
        <v>53.4</v>
      </c>
      <c r="Y64" s="52">
        <v>4.4000000000000004</v>
      </c>
      <c r="Z64" s="52">
        <v>32.67</v>
      </c>
      <c r="AA64" s="52">
        <v>2.2000000000000002</v>
      </c>
      <c r="AB64" s="52">
        <v>14.85</v>
      </c>
      <c r="AC64" s="52">
        <v>0.64</v>
      </c>
      <c r="AD64" s="52">
        <v>0.25</v>
      </c>
      <c r="AE64" s="52">
        <v>0.19</v>
      </c>
      <c r="AF64" s="52">
        <v>0.68</v>
      </c>
      <c r="AG64" s="52">
        <v>0.14000000000000001</v>
      </c>
      <c r="AH64" s="52">
        <v>0.13</v>
      </c>
      <c r="AI64" s="52">
        <v>0.28000000000000003</v>
      </c>
      <c r="AJ64" s="52">
        <v>0.25</v>
      </c>
    </row>
    <row r="65" spans="1:36" ht="25" customHeight="1" x14ac:dyDescent="0.2">
      <c r="A65" s="51">
        <v>62</v>
      </c>
      <c r="B65" s="52">
        <v>6520147.2000000002</v>
      </c>
      <c r="C65" s="52">
        <v>5720702.4000000004</v>
      </c>
      <c r="D65" s="52">
        <v>3001780.5</v>
      </c>
      <c r="E65" s="52">
        <v>2242107.09</v>
      </c>
      <c r="F65" s="52">
        <v>60288.000000000051</v>
      </c>
      <c r="G65" s="52">
        <v>1145472</v>
      </c>
      <c r="H65" s="52">
        <v>283288.00000000006</v>
      </c>
      <c r="I65" s="52">
        <v>317376.00000000006</v>
      </c>
      <c r="J65" s="52">
        <v>740544</v>
      </c>
      <c r="K65" s="52">
        <v>575376</v>
      </c>
      <c r="L65" s="52">
        <v>144329.64000000001</v>
      </c>
      <c r="M65" s="52">
        <v>410784.36</v>
      </c>
      <c r="N65" s="52">
        <v>317934.64</v>
      </c>
      <c r="O65" s="52">
        <v>145120.15000000002</v>
      </c>
      <c r="P65" s="52">
        <v>269508.84999999998</v>
      </c>
      <c r="Q65" s="52">
        <v>194095.15000000002</v>
      </c>
      <c r="R65" s="52">
        <v>53.68</v>
      </c>
      <c r="S65" s="52">
        <v>91.96</v>
      </c>
      <c r="T65" s="52">
        <v>54.12</v>
      </c>
      <c r="U65" s="52">
        <v>50.25</v>
      </c>
      <c r="V65" s="52">
        <v>81.740000000000009</v>
      </c>
      <c r="W65" s="52">
        <v>26.7</v>
      </c>
      <c r="X65" s="52">
        <v>75.599999999999994</v>
      </c>
      <c r="Y65" s="52">
        <v>4.96</v>
      </c>
      <c r="Z65" s="52">
        <v>35.970000000000006</v>
      </c>
      <c r="AA65" s="52">
        <v>2.48</v>
      </c>
      <c r="AB65" s="52">
        <v>16.350000000000001</v>
      </c>
      <c r="AC65" s="52">
        <v>0.8</v>
      </c>
      <c r="AD65" s="52">
        <v>0.28999999999999998</v>
      </c>
      <c r="AE65" s="52">
        <v>0.25</v>
      </c>
      <c r="AF65" s="52">
        <v>0.64</v>
      </c>
      <c r="AG65" s="52">
        <v>0.23</v>
      </c>
      <c r="AH65" s="52">
        <v>0.16</v>
      </c>
      <c r="AI65" s="52">
        <v>0.23</v>
      </c>
      <c r="AJ65" s="52">
        <v>0.3</v>
      </c>
    </row>
    <row r="66" spans="1:36" ht="25" customHeight="1" x14ac:dyDescent="0.2">
      <c r="A66" s="51">
        <v>63</v>
      </c>
      <c r="B66" s="52">
        <v>5823820.7999999998</v>
      </c>
      <c r="C66" s="52">
        <v>5109753.6000000006</v>
      </c>
      <c r="D66" s="52">
        <v>2681202</v>
      </c>
      <c r="E66" s="52">
        <v>2002658.76</v>
      </c>
      <c r="F66" s="52">
        <v>349670.40000000002</v>
      </c>
      <c r="G66" s="52">
        <v>856089.59999999998</v>
      </c>
      <c r="H66" s="52">
        <v>572670.4</v>
      </c>
      <c r="I66" s="52">
        <v>444326.39999999991</v>
      </c>
      <c r="J66" s="52">
        <v>613593.60000000009</v>
      </c>
      <c r="K66" s="52">
        <v>702326.39999999991</v>
      </c>
      <c r="L66" s="52">
        <v>255352.43999999997</v>
      </c>
      <c r="M66" s="52">
        <v>299761.56000000006</v>
      </c>
      <c r="N66" s="52">
        <v>428957.43999999994</v>
      </c>
      <c r="O66" s="52">
        <v>157559.01999999996</v>
      </c>
      <c r="P66" s="52">
        <v>257069.98000000004</v>
      </c>
      <c r="Q66" s="52">
        <v>206534.01999999996</v>
      </c>
      <c r="R66" s="52">
        <v>87.84</v>
      </c>
      <c r="S66" s="52">
        <v>150.47999999999999</v>
      </c>
      <c r="T66" s="52">
        <v>88.56</v>
      </c>
      <c r="U66" s="52">
        <v>66</v>
      </c>
      <c r="V66" s="52">
        <v>107.36</v>
      </c>
      <c r="W66" s="52">
        <v>27.900000000000002</v>
      </c>
      <c r="X66" s="52">
        <v>51.6</v>
      </c>
      <c r="Y66" s="52">
        <v>4.04</v>
      </c>
      <c r="Z66" s="52">
        <v>34.65</v>
      </c>
      <c r="AA66" s="52">
        <v>2.02</v>
      </c>
      <c r="AB66" s="52">
        <v>15.75</v>
      </c>
      <c r="AC66" s="52">
        <v>0.67</v>
      </c>
      <c r="AD66" s="52">
        <v>0.14000000000000001</v>
      </c>
      <c r="AE66" s="52">
        <v>0.13</v>
      </c>
      <c r="AF66" s="52">
        <v>0.8</v>
      </c>
      <c r="AG66" s="52">
        <v>0.37</v>
      </c>
      <c r="AH66" s="52">
        <v>0.26</v>
      </c>
      <c r="AI66" s="52">
        <v>0.3</v>
      </c>
      <c r="AJ66" s="52">
        <v>0.28000000000000003</v>
      </c>
    </row>
    <row r="67" spans="1:36" ht="25" customHeight="1" x14ac:dyDescent="0.2">
      <c r="A67" s="51">
        <v>64</v>
      </c>
      <c r="B67" s="52">
        <v>7596288</v>
      </c>
      <c r="C67" s="52">
        <v>6664896</v>
      </c>
      <c r="D67" s="52">
        <v>3497220</v>
      </c>
      <c r="E67" s="52">
        <v>2612163.6</v>
      </c>
      <c r="F67" s="52">
        <v>337612.80000000005</v>
      </c>
      <c r="G67" s="52">
        <v>868147.19999999995</v>
      </c>
      <c r="H67" s="52">
        <v>560612.80000000005</v>
      </c>
      <c r="I67" s="52">
        <v>349113.60000000009</v>
      </c>
      <c r="J67" s="52">
        <v>708806.39999999991</v>
      </c>
      <c r="K67" s="52">
        <v>607113.60000000009</v>
      </c>
      <c r="L67" s="52">
        <v>238699.01999999996</v>
      </c>
      <c r="M67" s="52">
        <v>316414.98000000004</v>
      </c>
      <c r="N67" s="52">
        <v>412304.01999999996</v>
      </c>
      <c r="O67" s="52">
        <v>186583.05</v>
      </c>
      <c r="P67" s="52">
        <v>228045.95</v>
      </c>
      <c r="Q67" s="52">
        <v>235558.05</v>
      </c>
      <c r="R67" s="52">
        <v>79.3</v>
      </c>
      <c r="S67" s="52">
        <v>135.85</v>
      </c>
      <c r="T67" s="52">
        <v>79.95</v>
      </c>
      <c r="U67" s="52">
        <v>58.5</v>
      </c>
      <c r="V67" s="52">
        <v>95.16</v>
      </c>
      <c r="W67" s="52">
        <v>31.8</v>
      </c>
      <c r="X67" s="52">
        <v>74.400000000000006</v>
      </c>
      <c r="Y67" s="52">
        <v>4.28</v>
      </c>
      <c r="Z67" s="52">
        <v>33.660000000000004</v>
      </c>
      <c r="AA67" s="52">
        <v>2.14</v>
      </c>
      <c r="AB67" s="52">
        <v>15.3</v>
      </c>
      <c r="AC67" s="52">
        <v>0.77</v>
      </c>
      <c r="AD67" s="52">
        <v>0.38</v>
      </c>
      <c r="AE67" s="52">
        <v>0.32</v>
      </c>
      <c r="AF67" s="52">
        <v>0.86</v>
      </c>
      <c r="AG67" s="52">
        <v>0.25</v>
      </c>
      <c r="AH67" s="52">
        <v>0.33</v>
      </c>
      <c r="AI67" s="52">
        <v>0.25</v>
      </c>
      <c r="AJ67" s="52">
        <v>0.22</v>
      </c>
    </row>
    <row r="68" spans="1:36" ht="25" customHeight="1" x14ac:dyDescent="0.2">
      <c r="A68" s="51">
        <v>65</v>
      </c>
      <c r="B68" s="52">
        <v>6330240</v>
      </c>
      <c r="C68" s="52">
        <v>5554080</v>
      </c>
      <c r="D68" s="52">
        <v>2914350</v>
      </c>
      <c r="E68" s="52">
        <v>2176803</v>
      </c>
      <c r="F68" s="52">
        <v>301440</v>
      </c>
      <c r="G68" s="52">
        <v>904320</v>
      </c>
      <c r="H68" s="52">
        <v>524440</v>
      </c>
      <c r="I68" s="52">
        <v>264480</v>
      </c>
      <c r="J68" s="52">
        <v>793440</v>
      </c>
      <c r="K68" s="52">
        <v>522480</v>
      </c>
      <c r="L68" s="52">
        <v>138778.5</v>
      </c>
      <c r="M68" s="52">
        <v>416335.5</v>
      </c>
      <c r="N68" s="52">
        <v>312383.5</v>
      </c>
      <c r="O68" s="52">
        <v>103657.25</v>
      </c>
      <c r="P68" s="52">
        <v>310971.75</v>
      </c>
      <c r="Q68" s="52">
        <v>152632.25</v>
      </c>
      <c r="R68" s="52">
        <v>76.86</v>
      </c>
      <c r="S68" s="52">
        <v>131.66999999999999</v>
      </c>
      <c r="T68" s="52">
        <v>77.489999999999995</v>
      </c>
      <c r="U68" s="52">
        <v>47.25</v>
      </c>
      <c r="V68" s="52">
        <v>76.86</v>
      </c>
      <c r="W68" s="52">
        <v>30</v>
      </c>
      <c r="X68" s="52">
        <v>60</v>
      </c>
      <c r="Y68" s="52">
        <v>4</v>
      </c>
      <c r="Z68" s="52">
        <v>33</v>
      </c>
      <c r="AA68" s="52">
        <v>2</v>
      </c>
      <c r="AB68" s="52">
        <v>15</v>
      </c>
      <c r="AC68" s="52">
        <v>0.75</v>
      </c>
      <c r="AD68" s="52">
        <v>0.25</v>
      </c>
      <c r="AE68" s="52">
        <v>0.25</v>
      </c>
      <c r="AF68" s="52">
        <v>0.75</v>
      </c>
      <c r="AG68" s="52">
        <v>0.25</v>
      </c>
      <c r="AH68" s="52">
        <v>0.25</v>
      </c>
      <c r="AI68" s="52">
        <v>0.2</v>
      </c>
      <c r="AJ68" s="52">
        <v>0.2</v>
      </c>
    </row>
    <row r="69" spans="1:36" ht="25" customHeight="1" x14ac:dyDescent="0.2">
      <c r="A69" s="51">
        <v>66</v>
      </c>
      <c r="B69" s="52">
        <v>7153171.1999999993</v>
      </c>
      <c r="C69" s="52">
        <v>6276110.3999999994</v>
      </c>
      <c r="D69" s="52">
        <v>3293215.4999999995</v>
      </c>
      <c r="E69" s="52">
        <v>2459787.3899999997</v>
      </c>
      <c r="F69" s="52">
        <v>337612.80000000005</v>
      </c>
      <c r="G69" s="52">
        <v>868147.19999999995</v>
      </c>
      <c r="H69" s="52">
        <v>560612.80000000005</v>
      </c>
      <c r="I69" s="52">
        <v>317376.00000000006</v>
      </c>
      <c r="J69" s="52">
        <v>740544</v>
      </c>
      <c r="K69" s="52">
        <v>575376</v>
      </c>
      <c r="L69" s="52">
        <v>149880.78</v>
      </c>
      <c r="M69" s="52">
        <v>405233.22</v>
      </c>
      <c r="N69" s="52">
        <v>323485.78000000003</v>
      </c>
      <c r="O69" s="52">
        <v>136827.57000000004</v>
      </c>
      <c r="P69" s="52">
        <v>277801.42999999993</v>
      </c>
      <c r="Q69" s="52">
        <v>185802.57000000004</v>
      </c>
      <c r="R69" s="52">
        <v>73.2</v>
      </c>
      <c r="S69" s="52">
        <v>125.39999999999999</v>
      </c>
      <c r="T69" s="52">
        <v>73.8</v>
      </c>
      <c r="U69" s="52">
        <v>24.75</v>
      </c>
      <c r="V69" s="52">
        <v>40.260000000000005</v>
      </c>
      <c r="W69" s="52">
        <v>25.5</v>
      </c>
      <c r="X69" s="52">
        <v>57</v>
      </c>
      <c r="Y69" s="52">
        <v>3.76</v>
      </c>
      <c r="Z69" s="52">
        <v>27.389999999999997</v>
      </c>
      <c r="AA69" s="52">
        <v>1.88</v>
      </c>
      <c r="AB69" s="52">
        <v>12.45</v>
      </c>
      <c r="AC69" s="52">
        <v>0.67</v>
      </c>
      <c r="AD69" s="52">
        <v>0.23</v>
      </c>
      <c r="AE69" s="52">
        <v>0.12</v>
      </c>
      <c r="AF69" s="52">
        <v>0.67</v>
      </c>
      <c r="AG69" s="52">
        <v>0.17</v>
      </c>
      <c r="AH69" s="52">
        <v>0.22</v>
      </c>
      <c r="AI69" s="52">
        <v>0.1</v>
      </c>
      <c r="AJ69" s="52">
        <v>0.11</v>
      </c>
    </row>
    <row r="70" spans="1:36" ht="25" customHeight="1" x14ac:dyDescent="0.2">
      <c r="A70" s="51">
        <v>67</v>
      </c>
      <c r="B70" s="52">
        <v>5064192</v>
      </c>
      <c r="C70" s="52">
        <v>4443264</v>
      </c>
      <c r="D70" s="52">
        <v>2331480</v>
      </c>
      <c r="E70" s="52">
        <v>1741442.4000000001</v>
      </c>
      <c r="F70" s="52">
        <v>422016.00000000012</v>
      </c>
      <c r="G70" s="52">
        <v>783743.99999999988</v>
      </c>
      <c r="H70" s="52">
        <v>645016.00000000012</v>
      </c>
      <c r="I70" s="52">
        <v>306796.80000000005</v>
      </c>
      <c r="J70" s="52">
        <v>751123.2</v>
      </c>
      <c r="K70" s="52">
        <v>564796.80000000005</v>
      </c>
      <c r="L70" s="52">
        <v>149880.78</v>
      </c>
      <c r="M70" s="52">
        <v>405233.22</v>
      </c>
      <c r="N70" s="52">
        <v>323485.78000000003</v>
      </c>
      <c r="O70" s="52">
        <v>186583.05</v>
      </c>
      <c r="P70" s="52">
        <v>228045.95</v>
      </c>
      <c r="Q70" s="52">
        <v>235558.05</v>
      </c>
      <c r="R70" s="52">
        <v>69.539999999999992</v>
      </c>
      <c r="S70" s="52">
        <v>119.13</v>
      </c>
      <c r="T70" s="52">
        <v>70.11</v>
      </c>
      <c r="U70" s="52">
        <v>40.5</v>
      </c>
      <c r="V70" s="52">
        <v>65.88000000000001</v>
      </c>
      <c r="W70" s="52">
        <v>31.200000000000003</v>
      </c>
      <c r="X70" s="52">
        <v>63.6</v>
      </c>
      <c r="Y70" s="52">
        <v>3.4</v>
      </c>
      <c r="Z70" s="52">
        <v>26.400000000000002</v>
      </c>
      <c r="AA70" s="52">
        <v>1.7</v>
      </c>
      <c r="AB70" s="52">
        <v>12</v>
      </c>
      <c r="AC70" s="52">
        <v>0.84</v>
      </c>
      <c r="AD70" s="52">
        <v>0.26</v>
      </c>
      <c r="AE70" s="52">
        <v>0.28999999999999998</v>
      </c>
      <c r="AF70" s="52">
        <v>0.62</v>
      </c>
      <c r="AG70" s="52">
        <v>0.22</v>
      </c>
      <c r="AH70" s="52">
        <v>0.21</v>
      </c>
      <c r="AI70" s="52">
        <v>0.11</v>
      </c>
      <c r="AJ70" s="52">
        <v>0.15</v>
      </c>
    </row>
    <row r="71" spans="1:36" ht="25" customHeight="1" x14ac:dyDescent="0.2">
      <c r="A71" s="51">
        <v>68</v>
      </c>
      <c r="B71" s="52">
        <v>6520147.2000000002</v>
      </c>
      <c r="C71" s="52">
        <v>5720702.4000000004</v>
      </c>
      <c r="D71" s="52">
        <v>3001780.5</v>
      </c>
      <c r="E71" s="52">
        <v>2242107.09</v>
      </c>
      <c r="F71" s="52">
        <v>144691.20000000013</v>
      </c>
      <c r="G71" s="52">
        <v>1061068.7999999998</v>
      </c>
      <c r="H71" s="52">
        <v>367691.20000000013</v>
      </c>
      <c r="I71" s="52">
        <v>528960</v>
      </c>
      <c r="J71" s="52">
        <v>528960</v>
      </c>
      <c r="K71" s="52">
        <v>786960</v>
      </c>
      <c r="L71" s="52">
        <v>199841.04000000007</v>
      </c>
      <c r="M71" s="52">
        <v>355272.95999999996</v>
      </c>
      <c r="N71" s="52">
        <v>373446.04000000004</v>
      </c>
      <c r="O71" s="52">
        <v>120242.41000000002</v>
      </c>
      <c r="P71" s="52">
        <v>294386.58999999997</v>
      </c>
      <c r="Q71" s="52">
        <v>169217.41000000003</v>
      </c>
      <c r="R71" s="52">
        <v>108.58</v>
      </c>
      <c r="S71" s="52">
        <v>186.01</v>
      </c>
      <c r="T71" s="52">
        <v>109.47</v>
      </c>
      <c r="U71" s="52">
        <v>27.75</v>
      </c>
      <c r="V71" s="52">
        <v>45.14</v>
      </c>
      <c r="W71" s="52">
        <v>38.4</v>
      </c>
      <c r="X71" s="52">
        <v>48</v>
      </c>
      <c r="Y71" s="52">
        <v>3.72</v>
      </c>
      <c r="Z71" s="52">
        <v>32.01</v>
      </c>
      <c r="AA71" s="52">
        <v>1.86</v>
      </c>
      <c r="AB71" s="52">
        <v>14.549999999999999</v>
      </c>
      <c r="AC71" s="52">
        <v>0.71</v>
      </c>
      <c r="AD71" s="52">
        <v>0.22</v>
      </c>
      <c r="AE71" s="52">
        <v>0.23</v>
      </c>
      <c r="AF71" s="52">
        <v>0.76</v>
      </c>
      <c r="AG71" s="52">
        <v>0.35</v>
      </c>
      <c r="AH71" s="52">
        <v>0.25</v>
      </c>
      <c r="AI71" s="52">
        <v>0.13</v>
      </c>
      <c r="AJ71" s="52">
        <v>0.1</v>
      </c>
    </row>
    <row r="72" spans="1:36" ht="25" customHeight="1" x14ac:dyDescent="0.2">
      <c r="A72" s="51">
        <v>69</v>
      </c>
      <c r="B72" s="52">
        <v>5697216</v>
      </c>
      <c r="C72" s="52">
        <v>4998672</v>
      </c>
      <c r="D72" s="52">
        <v>2622915</v>
      </c>
      <c r="E72" s="52">
        <v>1959122.7</v>
      </c>
      <c r="F72" s="52">
        <v>60288.000000000051</v>
      </c>
      <c r="G72" s="52">
        <v>1145472</v>
      </c>
      <c r="H72" s="52">
        <v>283288.00000000006</v>
      </c>
      <c r="I72" s="52">
        <v>370272.00000000012</v>
      </c>
      <c r="J72" s="52">
        <v>687647.99999999988</v>
      </c>
      <c r="K72" s="52">
        <v>628272.00000000012</v>
      </c>
      <c r="L72" s="52">
        <v>177636.48000000004</v>
      </c>
      <c r="M72" s="52">
        <v>377477.51999999996</v>
      </c>
      <c r="N72" s="52">
        <v>351241.48000000004</v>
      </c>
      <c r="O72" s="52">
        <v>116096.12000000001</v>
      </c>
      <c r="P72" s="52">
        <v>298532.88</v>
      </c>
      <c r="Q72" s="52">
        <v>165071.12</v>
      </c>
      <c r="R72" s="52">
        <v>89.06</v>
      </c>
      <c r="S72" s="52">
        <v>152.57</v>
      </c>
      <c r="T72" s="52">
        <v>89.789999999999992</v>
      </c>
      <c r="U72" s="52">
        <v>42.000000000000007</v>
      </c>
      <c r="V72" s="52">
        <v>68.320000000000007</v>
      </c>
      <c r="W72" s="52">
        <v>23.700000000000003</v>
      </c>
      <c r="X72" s="52">
        <v>80.400000000000006</v>
      </c>
      <c r="Y72" s="52">
        <v>3.08</v>
      </c>
      <c r="Z72" s="52">
        <v>31.349999999999998</v>
      </c>
      <c r="AA72" s="52">
        <v>1.54</v>
      </c>
      <c r="AB72" s="52">
        <v>14.25</v>
      </c>
      <c r="AC72" s="52">
        <v>0.78</v>
      </c>
      <c r="AD72" s="52">
        <v>0.32</v>
      </c>
      <c r="AE72" s="52">
        <v>0.26</v>
      </c>
      <c r="AF72" s="52">
        <v>0.78</v>
      </c>
      <c r="AG72" s="52">
        <v>0.28999999999999998</v>
      </c>
      <c r="AH72" s="52">
        <v>0.3</v>
      </c>
      <c r="AI72" s="52">
        <v>0.1</v>
      </c>
      <c r="AJ72" s="52">
        <v>0.17</v>
      </c>
    </row>
    <row r="73" spans="1:36" ht="25" customHeight="1" x14ac:dyDescent="0.2">
      <c r="A73" s="51">
        <v>70</v>
      </c>
      <c r="B73" s="52">
        <v>7912800</v>
      </c>
      <c r="C73" s="52">
        <v>6942600</v>
      </c>
      <c r="D73" s="52">
        <v>3642937.5</v>
      </c>
      <c r="E73" s="52">
        <v>2721003.75</v>
      </c>
      <c r="F73" s="52">
        <v>361728.00000000006</v>
      </c>
      <c r="G73" s="52">
        <v>844032</v>
      </c>
      <c r="H73" s="52">
        <v>584728</v>
      </c>
      <c r="I73" s="52">
        <v>232742.39999999997</v>
      </c>
      <c r="J73" s="52">
        <v>825177.60000000009</v>
      </c>
      <c r="K73" s="52">
        <v>490742.39999999997</v>
      </c>
      <c r="L73" s="52">
        <v>210943.31999999995</v>
      </c>
      <c r="M73" s="52">
        <v>344170.68000000005</v>
      </c>
      <c r="N73" s="52">
        <v>384548.31999999995</v>
      </c>
      <c r="O73" s="52">
        <v>186583.05</v>
      </c>
      <c r="P73" s="52">
        <v>228045.95</v>
      </c>
      <c r="Q73" s="52">
        <v>235558.05</v>
      </c>
      <c r="R73" s="52">
        <v>61</v>
      </c>
      <c r="S73" s="52">
        <v>104.5</v>
      </c>
      <c r="T73" s="52">
        <v>61.5</v>
      </c>
      <c r="U73" s="52">
        <v>34.5</v>
      </c>
      <c r="V73" s="52">
        <v>56.120000000000005</v>
      </c>
      <c r="W73" s="52">
        <v>29.4</v>
      </c>
      <c r="X73" s="52">
        <v>66.600000000000009</v>
      </c>
      <c r="Y73" s="52">
        <v>4.12</v>
      </c>
      <c r="Z73" s="52">
        <v>26.73</v>
      </c>
      <c r="AA73" s="52">
        <v>2.06</v>
      </c>
      <c r="AB73" s="52">
        <v>12.15</v>
      </c>
      <c r="AC73" s="52">
        <v>0.62</v>
      </c>
      <c r="AD73" s="52">
        <v>0.1</v>
      </c>
      <c r="AE73" s="52">
        <v>0.21</v>
      </c>
      <c r="AF73" s="52">
        <v>0.87</v>
      </c>
      <c r="AG73" s="52">
        <v>0.1</v>
      </c>
      <c r="AH73" s="52">
        <v>0.14000000000000001</v>
      </c>
      <c r="AI73" s="52">
        <v>0.25</v>
      </c>
      <c r="AJ73" s="52">
        <v>0.21</v>
      </c>
    </row>
    <row r="74" spans="1:36" ht="25" customHeight="1" x14ac:dyDescent="0.2">
      <c r="A74" s="51">
        <v>71</v>
      </c>
      <c r="B74" s="52">
        <v>5697216</v>
      </c>
      <c r="C74" s="52">
        <v>4998672</v>
      </c>
      <c r="D74" s="52">
        <v>2622915</v>
      </c>
      <c r="E74" s="52">
        <v>1959122.7</v>
      </c>
      <c r="F74" s="52">
        <v>349670.40000000002</v>
      </c>
      <c r="G74" s="52">
        <v>856089.59999999998</v>
      </c>
      <c r="H74" s="52">
        <v>572670.4</v>
      </c>
      <c r="I74" s="52">
        <v>158687.99999999991</v>
      </c>
      <c r="J74" s="52">
        <v>899232.00000000012</v>
      </c>
      <c r="K74" s="52">
        <v>416687.99999999988</v>
      </c>
      <c r="L74" s="52">
        <v>277557</v>
      </c>
      <c r="M74" s="52">
        <v>277557</v>
      </c>
      <c r="N74" s="52">
        <v>451162</v>
      </c>
      <c r="O74" s="52">
        <v>124388.70000000001</v>
      </c>
      <c r="P74" s="52">
        <v>290240.3</v>
      </c>
      <c r="Q74" s="52">
        <v>173363.7</v>
      </c>
      <c r="R74" s="52">
        <v>41.480000000000004</v>
      </c>
      <c r="S74" s="52">
        <v>71.06</v>
      </c>
      <c r="T74" s="52">
        <v>41.82</v>
      </c>
      <c r="U74" s="52">
        <v>32.25</v>
      </c>
      <c r="V74" s="52">
        <v>52.46</v>
      </c>
      <c r="W74" s="52">
        <v>34.199999999999996</v>
      </c>
      <c r="X74" s="52">
        <v>55.800000000000004</v>
      </c>
      <c r="Y74" s="52">
        <v>4.32</v>
      </c>
      <c r="Z74" s="52">
        <v>26.07</v>
      </c>
      <c r="AA74" s="52">
        <v>2.16</v>
      </c>
      <c r="AB74" s="52">
        <v>11.850000000000001</v>
      </c>
      <c r="AC74" s="52">
        <v>0.89</v>
      </c>
      <c r="AD74" s="52">
        <v>0.33</v>
      </c>
      <c r="AE74" s="52">
        <v>0.36</v>
      </c>
      <c r="AF74" s="52">
        <v>0.85</v>
      </c>
      <c r="AG74" s="52">
        <v>0.1</v>
      </c>
      <c r="AH74" s="52">
        <v>0.21</v>
      </c>
      <c r="AI74" s="52">
        <v>0.2</v>
      </c>
      <c r="AJ74" s="52">
        <v>0.24</v>
      </c>
    </row>
    <row r="75" spans="1:36" ht="25" customHeight="1" x14ac:dyDescent="0.2">
      <c r="A75" s="51">
        <v>72</v>
      </c>
      <c r="B75" s="52">
        <v>6646752</v>
      </c>
      <c r="C75" s="52">
        <v>5831784</v>
      </c>
      <c r="D75" s="52">
        <v>3060067.5</v>
      </c>
      <c r="E75" s="52">
        <v>2285643.15</v>
      </c>
      <c r="F75" s="52">
        <v>0</v>
      </c>
      <c r="G75" s="52">
        <v>1205760</v>
      </c>
      <c r="H75" s="52">
        <v>223000</v>
      </c>
      <c r="I75" s="52">
        <v>126950.40000000011</v>
      </c>
      <c r="J75" s="52">
        <v>930969.59999999986</v>
      </c>
      <c r="K75" s="52">
        <v>384950.40000000014</v>
      </c>
      <c r="L75" s="52">
        <v>199841.04000000007</v>
      </c>
      <c r="M75" s="52">
        <v>355272.95999999996</v>
      </c>
      <c r="N75" s="52">
        <v>373446.04000000004</v>
      </c>
      <c r="O75" s="52">
        <v>174144.17999999996</v>
      </c>
      <c r="P75" s="52">
        <v>240484.82000000004</v>
      </c>
      <c r="Q75" s="52">
        <v>223119.17999999996</v>
      </c>
      <c r="R75" s="52">
        <v>90.28</v>
      </c>
      <c r="S75" s="52">
        <v>154.66</v>
      </c>
      <c r="T75" s="52">
        <v>91.02</v>
      </c>
      <c r="U75" s="52">
        <v>22.5</v>
      </c>
      <c r="V75" s="52">
        <v>36.6</v>
      </c>
      <c r="W75" s="52">
        <v>36.6</v>
      </c>
      <c r="X75" s="52">
        <v>72.599999999999994</v>
      </c>
      <c r="Y75" s="52">
        <v>4.3600000000000003</v>
      </c>
      <c r="Z75" s="52">
        <v>26.07</v>
      </c>
      <c r="AA75" s="52">
        <v>2.1800000000000002</v>
      </c>
      <c r="AB75" s="52">
        <v>11.850000000000001</v>
      </c>
      <c r="AC75" s="52">
        <v>0.62</v>
      </c>
      <c r="AD75" s="52">
        <v>0.11</v>
      </c>
      <c r="AE75" s="52">
        <v>0.18</v>
      </c>
      <c r="AF75" s="52">
        <v>0.69</v>
      </c>
      <c r="AG75" s="52">
        <v>0.37</v>
      </c>
      <c r="AH75" s="52">
        <v>0.4</v>
      </c>
      <c r="AI75" s="52">
        <v>0.28000000000000003</v>
      </c>
      <c r="AJ75" s="52">
        <v>0.21</v>
      </c>
    </row>
    <row r="76" spans="1:36" ht="25" customHeight="1" x14ac:dyDescent="0.2">
      <c r="A76" s="51">
        <v>73</v>
      </c>
      <c r="B76" s="52">
        <v>6077030.3999999994</v>
      </c>
      <c r="C76" s="52">
        <v>5331916.7999999998</v>
      </c>
      <c r="D76" s="52">
        <v>2797776</v>
      </c>
      <c r="E76" s="52">
        <v>2089730.88</v>
      </c>
      <c r="F76" s="52">
        <v>180863.99999999988</v>
      </c>
      <c r="G76" s="52">
        <v>1024896.0000000001</v>
      </c>
      <c r="H76" s="52">
        <v>403863.99999999988</v>
      </c>
      <c r="I76" s="52">
        <v>52896.000000000044</v>
      </c>
      <c r="J76" s="52">
        <v>1005024</v>
      </c>
      <c r="K76" s="52">
        <v>310896.00000000006</v>
      </c>
      <c r="L76" s="52">
        <v>260903.58</v>
      </c>
      <c r="M76" s="52">
        <v>294210.42000000004</v>
      </c>
      <c r="N76" s="52">
        <v>434508.57999999996</v>
      </c>
      <c r="O76" s="52">
        <v>136827.57000000004</v>
      </c>
      <c r="P76" s="52">
        <v>277801.42999999993</v>
      </c>
      <c r="Q76" s="52">
        <v>185802.57000000004</v>
      </c>
      <c r="R76" s="52">
        <v>113.46000000000001</v>
      </c>
      <c r="S76" s="52">
        <v>194.37</v>
      </c>
      <c r="T76" s="52">
        <v>114.39</v>
      </c>
      <c r="U76" s="52">
        <v>20.25</v>
      </c>
      <c r="V76" s="52">
        <v>32.940000000000005</v>
      </c>
      <c r="W76" s="52">
        <v>19.8</v>
      </c>
      <c r="X76" s="52">
        <v>42.599999999999994</v>
      </c>
      <c r="Y76" s="52">
        <v>4.16</v>
      </c>
      <c r="Z76" s="52">
        <v>33.660000000000004</v>
      </c>
      <c r="AA76" s="52">
        <v>2.08</v>
      </c>
      <c r="AB76" s="52">
        <v>15.3</v>
      </c>
      <c r="AC76" s="52">
        <v>0.9</v>
      </c>
      <c r="AD76" s="52">
        <v>0.31</v>
      </c>
      <c r="AE76" s="52">
        <v>0.34</v>
      </c>
      <c r="AF76" s="52">
        <v>0.75</v>
      </c>
      <c r="AG76" s="52">
        <v>0.37</v>
      </c>
      <c r="AH76" s="52">
        <v>0.35</v>
      </c>
      <c r="AI76" s="52">
        <v>0.24</v>
      </c>
      <c r="AJ76" s="52">
        <v>0.23</v>
      </c>
    </row>
    <row r="77" spans="1:36" ht="25" customHeight="1" x14ac:dyDescent="0.2">
      <c r="A77" s="51">
        <v>74</v>
      </c>
      <c r="B77" s="52">
        <v>7849497.5999999996</v>
      </c>
      <c r="C77" s="52">
        <v>6887059.2000000002</v>
      </c>
      <c r="D77" s="52">
        <v>3613794</v>
      </c>
      <c r="E77" s="52">
        <v>2699235.72</v>
      </c>
      <c r="F77" s="52">
        <v>578764.79999999993</v>
      </c>
      <c r="G77" s="52">
        <v>626995.20000000007</v>
      </c>
      <c r="H77" s="52">
        <v>801764.79999999993</v>
      </c>
      <c r="I77" s="52">
        <v>391430.40000000014</v>
      </c>
      <c r="J77" s="52">
        <v>666489.59999999986</v>
      </c>
      <c r="K77" s="52">
        <v>649430.40000000014</v>
      </c>
      <c r="L77" s="52">
        <v>222045.59999999995</v>
      </c>
      <c r="M77" s="52">
        <v>333068.40000000002</v>
      </c>
      <c r="N77" s="52">
        <v>395650.6</v>
      </c>
      <c r="O77" s="52">
        <v>165851.59999999998</v>
      </c>
      <c r="P77" s="52">
        <v>248777.40000000002</v>
      </c>
      <c r="Q77" s="52">
        <v>214826.59999999998</v>
      </c>
      <c r="R77" s="52">
        <v>32.940000000000005</v>
      </c>
      <c r="S77" s="52">
        <v>56.430000000000007</v>
      </c>
      <c r="T77" s="52">
        <v>33.21</v>
      </c>
      <c r="U77" s="52">
        <v>56.25</v>
      </c>
      <c r="V77" s="52">
        <v>91.5</v>
      </c>
      <c r="W77" s="52">
        <v>18.600000000000001</v>
      </c>
      <c r="X77" s="52">
        <v>49.199999999999996</v>
      </c>
      <c r="Y77" s="52">
        <v>3.4</v>
      </c>
      <c r="Z77" s="52">
        <v>28.38</v>
      </c>
      <c r="AA77" s="52">
        <v>1.7</v>
      </c>
      <c r="AB77" s="52">
        <v>12.9</v>
      </c>
      <c r="AC77" s="52">
        <v>0.77</v>
      </c>
      <c r="AD77" s="52">
        <v>0.18</v>
      </c>
      <c r="AE77" s="52">
        <v>0.14000000000000001</v>
      </c>
      <c r="AF77" s="52">
        <v>0.68</v>
      </c>
      <c r="AG77" s="52">
        <v>0.32</v>
      </c>
      <c r="AH77" s="52">
        <v>0.22</v>
      </c>
      <c r="AI77" s="52">
        <v>0.25</v>
      </c>
      <c r="AJ77" s="52">
        <v>0.11</v>
      </c>
    </row>
    <row r="78" spans="1:36" ht="25" customHeight="1" x14ac:dyDescent="0.2">
      <c r="A78" s="51">
        <v>75</v>
      </c>
      <c r="B78" s="52">
        <v>4810982.4000000004</v>
      </c>
      <c r="C78" s="52">
        <v>4221100.8</v>
      </c>
      <c r="D78" s="52">
        <v>2214906</v>
      </c>
      <c r="E78" s="52">
        <v>1654370.28</v>
      </c>
      <c r="F78" s="52">
        <v>554649.59999999998</v>
      </c>
      <c r="G78" s="52">
        <v>651110.40000000002</v>
      </c>
      <c r="H78" s="52">
        <v>777649.6</v>
      </c>
      <c r="I78" s="52">
        <v>412588.79999999987</v>
      </c>
      <c r="J78" s="52">
        <v>645331.20000000019</v>
      </c>
      <c r="K78" s="52">
        <v>670588.79999999981</v>
      </c>
      <c r="L78" s="52">
        <v>205392.18000000005</v>
      </c>
      <c r="M78" s="52">
        <v>349721.81999999995</v>
      </c>
      <c r="N78" s="52">
        <v>378997.18000000005</v>
      </c>
      <c r="O78" s="52">
        <v>182436.75999999998</v>
      </c>
      <c r="P78" s="52">
        <v>232192.24000000002</v>
      </c>
      <c r="Q78" s="52">
        <v>231411.75999999998</v>
      </c>
      <c r="R78" s="52">
        <v>58.559999999999995</v>
      </c>
      <c r="S78" s="52">
        <v>100.32</v>
      </c>
      <c r="T78" s="52">
        <v>59.04</v>
      </c>
      <c r="U78" s="52">
        <v>63</v>
      </c>
      <c r="V78" s="52">
        <v>102.47999999999999</v>
      </c>
      <c r="W78" s="52">
        <v>39.6</v>
      </c>
      <c r="X78" s="52">
        <v>74.400000000000006</v>
      </c>
      <c r="Y78" s="52">
        <v>4.08</v>
      </c>
      <c r="Z78" s="52">
        <v>29.37</v>
      </c>
      <c r="AA78" s="52">
        <v>2.04</v>
      </c>
      <c r="AB78" s="52">
        <v>13.35</v>
      </c>
      <c r="AC78" s="52">
        <v>0.74</v>
      </c>
      <c r="AD78" s="52">
        <v>0.34</v>
      </c>
      <c r="AE78" s="52">
        <v>0.36</v>
      </c>
      <c r="AF78" s="52">
        <v>0.75</v>
      </c>
      <c r="AG78" s="52">
        <v>0.36</v>
      </c>
      <c r="AH78" s="52">
        <v>0.19</v>
      </c>
      <c r="AI78" s="52">
        <v>0.28000000000000003</v>
      </c>
      <c r="AJ78" s="52">
        <v>0.12</v>
      </c>
    </row>
    <row r="79" spans="1:36" ht="25" customHeight="1" x14ac:dyDescent="0.2">
      <c r="A79" s="51">
        <v>76</v>
      </c>
      <c r="B79" s="52">
        <v>7786195.2000000002</v>
      </c>
      <c r="C79" s="52">
        <v>6831518.3999999994</v>
      </c>
      <c r="D79" s="52">
        <v>3584650.5</v>
      </c>
      <c r="E79" s="52">
        <v>2677467.69</v>
      </c>
      <c r="F79" s="52">
        <v>12057.600000000011</v>
      </c>
      <c r="G79" s="52">
        <v>1193702.3999999999</v>
      </c>
      <c r="H79" s="52">
        <v>235057.6</v>
      </c>
      <c r="I79" s="52">
        <v>275059.20000000001</v>
      </c>
      <c r="J79" s="52">
        <v>782860.80000000005</v>
      </c>
      <c r="K79" s="52">
        <v>533059.19999999995</v>
      </c>
      <c r="L79" s="52">
        <v>199841.04000000007</v>
      </c>
      <c r="M79" s="52">
        <v>355272.95999999996</v>
      </c>
      <c r="N79" s="52">
        <v>373446.04000000004</v>
      </c>
      <c r="O79" s="52">
        <v>140973.86000000004</v>
      </c>
      <c r="P79" s="52">
        <v>273655.13999999996</v>
      </c>
      <c r="Q79" s="52">
        <v>189948.86000000004</v>
      </c>
      <c r="R79" s="52">
        <v>102.47999999999999</v>
      </c>
      <c r="S79" s="52">
        <v>175.56</v>
      </c>
      <c r="T79" s="52">
        <v>103.32</v>
      </c>
      <c r="U79" s="52">
        <v>58.5</v>
      </c>
      <c r="V79" s="52">
        <v>95.16</v>
      </c>
      <c r="W79" s="52">
        <v>40.200000000000003</v>
      </c>
      <c r="X79" s="52">
        <v>46.800000000000004</v>
      </c>
      <c r="Y79" s="52">
        <v>3.12</v>
      </c>
      <c r="Z79" s="52">
        <v>29.37</v>
      </c>
      <c r="AA79" s="52">
        <v>1.56</v>
      </c>
      <c r="AB79" s="52">
        <v>13.35</v>
      </c>
      <c r="AC79" s="52">
        <v>0.83</v>
      </c>
      <c r="AD79" s="52">
        <v>0.21</v>
      </c>
      <c r="AE79" s="52">
        <v>0.15</v>
      </c>
      <c r="AF79" s="52">
        <v>0.85</v>
      </c>
      <c r="AG79" s="52">
        <v>0.24</v>
      </c>
      <c r="AH79" s="52">
        <v>0.32</v>
      </c>
      <c r="AI79" s="52">
        <v>0.25</v>
      </c>
      <c r="AJ79" s="52">
        <v>0.15</v>
      </c>
    </row>
    <row r="80" spans="1:36" ht="25" customHeight="1" x14ac:dyDescent="0.2">
      <c r="A80" s="51">
        <v>77</v>
      </c>
      <c r="B80" s="52">
        <v>5000889.6000000006</v>
      </c>
      <c r="C80" s="52">
        <v>4387723.2</v>
      </c>
      <c r="D80" s="52">
        <v>2302336.5</v>
      </c>
      <c r="E80" s="52">
        <v>1719674.37</v>
      </c>
      <c r="F80" s="52">
        <v>12057.600000000011</v>
      </c>
      <c r="G80" s="52">
        <v>1193702.3999999999</v>
      </c>
      <c r="H80" s="52">
        <v>235057.6</v>
      </c>
      <c r="I80" s="52">
        <v>402009.59999999986</v>
      </c>
      <c r="J80" s="52">
        <v>655910.40000000014</v>
      </c>
      <c r="K80" s="52">
        <v>660009.59999999986</v>
      </c>
      <c r="L80" s="52">
        <v>172085.34000000003</v>
      </c>
      <c r="M80" s="52">
        <v>383028.66</v>
      </c>
      <c r="N80" s="52">
        <v>345690.34</v>
      </c>
      <c r="O80" s="52">
        <v>178290.46999999997</v>
      </c>
      <c r="P80" s="52">
        <v>236338.53000000003</v>
      </c>
      <c r="Q80" s="52">
        <v>227265.46999999997</v>
      </c>
      <c r="R80" s="52">
        <v>103.7</v>
      </c>
      <c r="S80" s="52">
        <v>177.65</v>
      </c>
      <c r="T80" s="52">
        <v>104.55</v>
      </c>
      <c r="U80" s="52">
        <v>63.75</v>
      </c>
      <c r="V80" s="52">
        <v>103.7</v>
      </c>
      <c r="W80" s="52">
        <v>18</v>
      </c>
      <c r="X80" s="52">
        <v>59.4</v>
      </c>
      <c r="Y80" s="52">
        <v>3.92</v>
      </c>
      <c r="Z80" s="52">
        <v>31.68</v>
      </c>
      <c r="AA80" s="52">
        <v>1.96</v>
      </c>
      <c r="AB80" s="52">
        <v>14.399999999999999</v>
      </c>
      <c r="AC80" s="52">
        <v>0.63</v>
      </c>
      <c r="AD80" s="52">
        <v>0.32</v>
      </c>
      <c r="AE80" s="52">
        <v>0.31</v>
      </c>
      <c r="AF80" s="52">
        <v>0.83</v>
      </c>
      <c r="AG80" s="52">
        <v>0.2</v>
      </c>
      <c r="AH80" s="52">
        <v>0.33</v>
      </c>
      <c r="AI80" s="52">
        <v>0.21</v>
      </c>
      <c r="AJ80" s="52">
        <v>0.13</v>
      </c>
    </row>
    <row r="81" spans="1:36" ht="25" customHeight="1" x14ac:dyDescent="0.2">
      <c r="A81" s="51">
        <v>78</v>
      </c>
      <c r="B81" s="52">
        <v>6393542.4000000004</v>
      </c>
      <c r="C81" s="52">
        <v>5609620.7999999998</v>
      </c>
      <c r="D81" s="52">
        <v>2943493.5</v>
      </c>
      <c r="E81" s="52">
        <v>2198571.0299999998</v>
      </c>
      <c r="F81" s="52">
        <v>446131.20000000013</v>
      </c>
      <c r="G81" s="52">
        <v>759628.79999999981</v>
      </c>
      <c r="H81" s="52">
        <v>669131.20000000019</v>
      </c>
      <c r="I81" s="52">
        <v>21158.40000000002</v>
      </c>
      <c r="J81" s="52">
        <v>1036761.6</v>
      </c>
      <c r="K81" s="52">
        <v>279158.40000000002</v>
      </c>
      <c r="L81" s="52">
        <v>227596.73999999996</v>
      </c>
      <c r="M81" s="52">
        <v>327517.26</v>
      </c>
      <c r="N81" s="52">
        <v>401201.74</v>
      </c>
      <c r="O81" s="52">
        <v>124388.70000000001</v>
      </c>
      <c r="P81" s="52">
        <v>290240.3</v>
      </c>
      <c r="Q81" s="52">
        <v>173363.7</v>
      </c>
      <c r="R81" s="52">
        <v>46.36</v>
      </c>
      <c r="S81" s="52">
        <v>79.42</v>
      </c>
      <c r="T81" s="52">
        <v>46.74</v>
      </c>
      <c r="U81" s="52">
        <v>48.75</v>
      </c>
      <c r="V81" s="52">
        <v>79.3</v>
      </c>
      <c r="W81" s="52">
        <v>24.9</v>
      </c>
      <c r="X81" s="52">
        <v>81.600000000000009</v>
      </c>
      <c r="Y81" s="52">
        <v>4.8</v>
      </c>
      <c r="Z81" s="52">
        <v>28.71</v>
      </c>
      <c r="AA81" s="52">
        <v>2.4</v>
      </c>
      <c r="AB81" s="52">
        <v>13.05</v>
      </c>
      <c r="AC81" s="52">
        <v>0.79</v>
      </c>
      <c r="AD81" s="52">
        <v>0.2</v>
      </c>
      <c r="AE81" s="52">
        <v>0.13</v>
      </c>
      <c r="AF81" s="52">
        <v>0.9</v>
      </c>
      <c r="AG81" s="52">
        <v>0.34</v>
      </c>
      <c r="AH81" s="52">
        <v>0.13</v>
      </c>
      <c r="AI81" s="52">
        <v>0.15</v>
      </c>
      <c r="AJ81" s="52">
        <v>0.24</v>
      </c>
    </row>
    <row r="82" spans="1:36" ht="25" customHeight="1" x14ac:dyDescent="0.2">
      <c r="A82" s="51">
        <v>79</v>
      </c>
      <c r="B82" s="52">
        <v>5570611.2000000002</v>
      </c>
      <c r="C82" s="52">
        <v>4887590.4000000004</v>
      </c>
      <c r="D82" s="52">
        <v>2564628</v>
      </c>
      <c r="E82" s="52">
        <v>1915586.64</v>
      </c>
      <c r="F82" s="52">
        <v>470246.39999999991</v>
      </c>
      <c r="G82" s="52">
        <v>735513.60000000009</v>
      </c>
      <c r="H82" s="52">
        <v>693246.39999999991</v>
      </c>
      <c r="I82" s="52">
        <v>42316.800000000039</v>
      </c>
      <c r="J82" s="52">
        <v>1015603.2</v>
      </c>
      <c r="K82" s="52">
        <v>300316.80000000005</v>
      </c>
      <c r="L82" s="52">
        <v>177636.48000000004</v>
      </c>
      <c r="M82" s="52">
        <v>377477.51999999996</v>
      </c>
      <c r="N82" s="52">
        <v>351241.48000000004</v>
      </c>
      <c r="O82" s="52">
        <v>190729.34</v>
      </c>
      <c r="P82" s="52">
        <v>223899.66</v>
      </c>
      <c r="Q82" s="52">
        <v>239704.34</v>
      </c>
      <c r="R82" s="52">
        <v>78.08</v>
      </c>
      <c r="S82" s="52">
        <v>133.76</v>
      </c>
      <c r="T82" s="52">
        <v>78.72</v>
      </c>
      <c r="U82" s="52">
        <v>47.25</v>
      </c>
      <c r="V82" s="52">
        <v>76.86</v>
      </c>
      <c r="W82" s="52">
        <v>36.299999999999997</v>
      </c>
      <c r="X82" s="52">
        <v>40.200000000000003</v>
      </c>
      <c r="Y82" s="52">
        <v>4.5599999999999996</v>
      </c>
      <c r="Z82" s="52">
        <v>30.03</v>
      </c>
      <c r="AA82" s="52">
        <v>2.2799999999999998</v>
      </c>
      <c r="AB82" s="52">
        <v>13.65</v>
      </c>
      <c r="AC82" s="52">
        <v>0.74</v>
      </c>
      <c r="AD82" s="52">
        <v>0.34</v>
      </c>
      <c r="AE82" s="52">
        <v>0.28000000000000003</v>
      </c>
      <c r="AF82" s="52">
        <v>0.9</v>
      </c>
      <c r="AG82" s="52">
        <v>0.3</v>
      </c>
      <c r="AH82" s="52">
        <v>0.15</v>
      </c>
      <c r="AI82" s="52">
        <v>0.11</v>
      </c>
      <c r="AJ82" s="52">
        <v>0.23</v>
      </c>
    </row>
    <row r="83" spans="1:36" ht="25" customHeight="1" x14ac:dyDescent="0.2">
      <c r="A83" s="51">
        <v>80</v>
      </c>
      <c r="B83" s="52">
        <v>7089868.8000000007</v>
      </c>
      <c r="C83" s="52">
        <v>6220569.6000000006</v>
      </c>
      <c r="D83" s="52">
        <v>3264072.0000000005</v>
      </c>
      <c r="E83" s="52">
        <v>2438019.3600000003</v>
      </c>
      <c r="F83" s="52">
        <v>289382.39999999997</v>
      </c>
      <c r="G83" s="52">
        <v>916377.60000000009</v>
      </c>
      <c r="H83" s="52">
        <v>512382.39999999997</v>
      </c>
      <c r="I83" s="52">
        <v>10579.20000000001</v>
      </c>
      <c r="J83" s="52">
        <v>1047340.8</v>
      </c>
      <c r="K83" s="52">
        <v>268579.20000000001</v>
      </c>
      <c r="L83" s="52">
        <v>216494.45999999993</v>
      </c>
      <c r="M83" s="52">
        <v>338619.54000000004</v>
      </c>
      <c r="N83" s="52">
        <v>390099.45999999996</v>
      </c>
      <c r="O83" s="52">
        <v>111949.83</v>
      </c>
      <c r="P83" s="52">
        <v>302679.17</v>
      </c>
      <c r="Q83" s="52">
        <v>160924.83000000002</v>
      </c>
      <c r="R83" s="52">
        <v>112.24000000000001</v>
      </c>
      <c r="S83" s="52">
        <v>192.28</v>
      </c>
      <c r="T83" s="52">
        <v>113.16000000000001</v>
      </c>
      <c r="U83" s="52">
        <v>66.75</v>
      </c>
      <c r="V83" s="52">
        <v>108.58</v>
      </c>
      <c r="W83" s="52">
        <v>36.9</v>
      </c>
      <c r="X83" s="52">
        <v>82.8</v>
      </c>
      <c r="Y83" s="52">
        <v>4.84</v>
      </c>
      <c r="Z83" s="52">
        <v>31.02</v>
      </c>
      <c r="AA83" s="52">
        <v>2.42</v>
      </c>
      <c r="AB83" s="52">
        <v>14.1</v>
      </c>
      <c r="AC83" s="52">
        <v>0.86</v>
      </c>
      <c r="AD83" s="52">
        <v>0.1</v>
      </c>
      <c r="AE83" s="52">
        <v>0.16</v>
      </c>
      <c r="AF83" s="52">
        <v>0.65</v>
      </c>
      <c r="AG83" s="52">
        <v>0.18</v>
      </c>
      <c r="AH83" s="52">
        <v>0.33</v>
      </c>
      <c r="AI83" s="52">
        <v>0.2</v>
      </c>
      <c r="AJ83" s="52">
        <v>0.24</v>
      </c>
    </row>
    <row r="84" spans="1:36" ht="25" customHeight="1" x14ac:dyDescent="0.2">
      <c r="A84" s="51">
        <v>81</v>
      </c>
      <c r="B84" s="52">
        <v>5444006.4000000004</v>
      </c>
      <c r="C84" s="52">
        <v>4776508.8</v>
      </c>
      <c r="D84" s="52">
        <v>2506341</v>
      </c>
      <c r="E84" s="52">
        <v>1872050.58</v>
      </c>
      <c r="F84" s="52">
        <v>156748.79999999987</v>
      </c>
      <c r="G84" s="52">
        <v>1049011.2000000002</v>
      </c>
      <c r="H84" s="52">
        <v>379748.79999999987</v>
      </c>
      <c r="I84" s="52">
        <v>10579.20000000001</v>
      </c>
      <c r="J84" s="52">
        <v>1047340.8</v>
      </c>
      <c r="K84" s="52">
        <v>268579.20000000001</v>
      </c>
      <c r="L84" s="52">
        <v>266454.71999999997</v>
      </c>
      <c r="M84" s="52">
        <v>288659.28000000003</v>
      </c>
      <c r="N84" s="52">
        <v>440059.72</v>
      </c>
      <c r="O84" s="52">
        <v>169997.88999999996</v>
      </c>
      <c r="P84" s="52">
        <v>244631.11000000004</v>
      </c>
      <c r="Q84" s="52">
        <v>218972.88999999996</v>
      </c>
      <c r="R84" s="52">
        <v>87.84</v>
      </c>
      <c r="S84" s="52">
        <v>150.47999999999999</v>
      </c>
      <c r="T84" s="52">
        <v>88.56</v>
      </c>
      <c r="U84" s="52">
        <v>42.749999999999993</v>
      </c>
      <c r="V84" s="52">
        <v>69.539999999999992</v>
      </c>
      <c r="W84" s="52">
        <v>29.7</v>
      </c>
      <c r="X84" s="52">
        <v>37.200000000000003</v>
      </c>
      <c r="Y84" s="52">
        <v>4.84</v>
      </c>
      <c r="Z84" s="52">
        <v>25.080000000000002</v>
      </c>
      <c r="AA84" s="52">
        <v>2.42</v>
      </c>
      <c r="AB84" s="52">
        <v>11.4</v>
      </c>
      <c r="AC84" s="52">
        <v>0.68</v>
      </c>
      <c r="AD84" s="52">
        <v>0.33</v>
      </c>
      <c r="AE84" s="52">
        <v>0.27</v>
      </c>
      <c r="AF84" s="52">
        <v>0.61</v>
      </c>
      <c r="AG84" s="52">
        <v>0.21</v>
      </c>
      <c r="AH84" s="52">
        <v>0.3</v>
      </c>
      <c r="AI84" s="52">
        <v>0.18</v>
      </c>
      <c r="AJ84" s="52">
        <v>0.25</v>
      </c>
    </row>
    <row r="85" spans="1:36" ht="25" customHeight="1" x14ac:dyDescent="0.2">
      <c r="A85" s="51">
        <v>82</v>
      </c>
      <c r="B85" s="52">
        <v>7216473.5999999996</v>
      </c>
      <c r="C85" s="52">
        <v>6331651.1999999993</v>
      </c>
      <c r="D85" s="52">
        <v>3322358.9999999995</v>
      </c>
      <c r="E85" s="52">
        <v>2481555.42</v>
      </c>
      <c r="F85" s="52">
        <v>494361.59999999992</v>
      </c>
      <c r="G85" s="52">
        <v>711398.40000000014</v>
      </c>
      <c r="H85" s="52">
        <v>717361.59999999986</v>
      </c>
      <c r="I85" s="52">
        <v>423167.99999999988</v>
      </c>
      <c r="J85" s="52">
        <v>634752.00000000012</v>
      </c>
      <c r="K85" s="52">
        <v>681167.99999999988</v>
      </c>
      <c r="L85" s="52">
        <v>72164.819999999934</v>
      </c>
      <c r="M85" s="52">
        <v>482949.18000000005</v>
      </c>
      <c r="N85" s="52">
        <v>245769.81999999995</v>
      </c>
      <c r="O85" s="52">
        <v>199021.91999999998</v>
      </c>
      <c r="P85" s="52">
        <v>215607.08000000002</v>
      </c>
      <c r="Q85" s="52">
        <v>247996.91999999998</v>
      </c>
      <c r="R85" s="52">
        <v>40.260000000000005</v>
      </c>
      <c r="S85" s="52">
        <v>68.97</v>
      </c>
      <c r="T85" s="52">
        <v>40.590000000000003</v>
      </c>
      <c r="U85" s="52">
        <v>28.5</v>
      </c>
      <c r="V85" s="52">
        <v>46.36</v>
      </c>
      <c r="W85" s="52">
        <v>25.2</v>
      </c>
      <c r="X85" s="52">
        <v>51</v>
      </c>
      <c r="Y85" s="52">
        <v>3.44</v>
      </c>
      <c r="Z85" s="52">
        <v>39.93</v>
      </c>
      <c r="AA85" s="52">
        <v>1.72</v>
      </c>
      <c r="AB85" s="52">
        <v>18.149999999999999</v>
      </c>
      <c r="AC85" s="52">
        <v>0.75</v>
      </c>
      <c r="AD85" s="52">
        <v>0.34</v>
      </c>
      <c r="AE85" s="52">
        <v>0.22</v>
      </c>
      <c r="AF85" s="52">
        <v>0.71</v>
      </c>
      <c r="AG85" s="52">
        <v>0.22</v>
      </c>
      <c r="AH85" s="52">
        <v>0.34</v>
      </c>
      <c r="AI85" s="52">
        <v>0.1</v>
      </c>
      <c r="AJ85" s="52">
        <v>0.28999999999999998</v>
      </c>
    </row>
    <row r="86" spans="1:36" ht="25" customHeight="1" x14ac:dyDescent="0.2">
      <c r="A86" s="51">
        <v>83</v>
      </c>
      <c r="B86" s="52">
        <v>4874284.8</v>
      </c>
      <c r="C86" s="52">
        <v>4276641.6000000006</v>
      </c>
      <c r="D86" s="52">
        <v>2244049.5</v>
      </c>
      <c r="E86" s="52">
        <v>1676138.31</v>
      </c>
      <c r="F86" s="52">
        <v>385843.20000000007</v>
      </c>
      <c r="G86" s="52">
        <v>819916.79999999993</v>
      </c>
      <c r="H86" s="52">
        <v>608843.20000000007</v>
      </c>
      <c r="I86" s="52">
        <v>391430.40000000014</v>
      </c>
      <c r="J86" s="52">
        <v>666489.59999999986</v>
      </c>
      <c r="K86" s="52">
        <v>649430.40000000014</v>
      </c>
      <c r="L86" s="52">
        <v>61062.540000000052</v>
      </c>
      <c r="M86" s="52">
        <v>494051.45999999996</v>
      </c>
      <c r="N86" s="52">
        <v>234667.54000000004</v>
      </c>
      <c r="O86" s="52">
        <v>120242.41000000002</v>
      </c>
      <c r="P86" s="52">
        <v>294386.58999999997</v>
      </c>
      <c r="Q86" s="52">
        <v>169217.41000000003</v>
      </c>
      <c r="R86" s="52">
        <v>51.239999999999995</v>
      </c>
      <c r="S86" s="52">
        <v>87.78</v>
      </c>
      <c r="T86" s="52">
        <v>51.66</v>
      </c>
      <c r="U86" s="52">
        <v>21.75</v>
      </c>
      <c r="V86" s="52">
        <v>35.379999999999995</v>
      </c>
      <c r="W86" s="52">
        <v>37.200000000000003</v>
      </c>
      <c r="X86" s="52">
        <v>76.8</v>
      </c>
      <c r="Y86" s="52">
        <v>3.64</v>
      </c>
      <c r="Z86" s="52">
        <v>33.33</v>
      </c>
      <c r="AA86" s="52">
        <v>1.82</v>
      </c>
      <c r="AB86" s="52">
        <v>15.15</v>
      </c>
      <c r="AC86" s="52">
        <v>0.76</v>
      </c>
      <c r="AD86" s="52">
        <v>0.18</v>
      </c>
      <c r="AE86" s="52">
        <v>0.39</v>
      </c>
      <c r="AF86" s="52">
        <v>0.72</v>
      </c>
      <c r="AG86" s="52">
        <v>0.18</v>
      </c>
      <c r="AH86" s="52">
        <v>0.27</v>
      </c>
      <c r="AI86" s="52">
        <v>0.18</v>
      </c>
      <c r="AJ86" s="52">
        <v>0.28000000000000003</v>
      </c>
    </row>
    <row r="87" spans="1:36" ht="25" customHeight="1" x14ac:dyDescent="0.2">
      <c r="A87" s="51">
        <v>84</v>
      </c>
      <c r="B87" s="52">
        <v>7343078.3999999994</v>
      </c>
      <c r="C87" s="52">
        <v>6442732.7999999998</v>
      </c>
      <c r="D87" s="52">
        <v>3380645.9999999995</v>
      </c>
      <c r="E87" s="52">
        <v>2525091.48</v>
      </c>
      <c r="F87" s="52">
        <v>132633.60000000012</v>
      </c>
      <c r="G87" s="52">
        <v>1073126.3999999999</v>
      </c>
      <c r="H87" s="52">
        <v>355633.60000000009</v>
      </c>
      <c r="I87" s="52">
        <v>380851.20000000013</v>
      </c>
      <c r="J87" s="52">
        <v>677068.79999999981</v>
      </c>
      <c r="K87" s="52">
        <v>638851.20000000019</v>
      </c>
      <c r="L87" s="52">
        <v>133227.35999999999</v>
      </c>
      <c r="M87" s="52">
        <v>421886.64</v>
      </c>
      <c r="N87" s="52">
        <v>306832.36</v>
      </c>
      <c r="O87" s="52">
        <v>161705.30999999997</v>
      </c>
      <c r="P87" s="52">
        <v>252923.69000000003</v>
      </c>
      <c r="Q87" s="52">
        <v>210680.30999999997</v>
      </c>
      <c r="R87" s="52">
        <v>84.179999999999993</v>
      </c>
      <c r="S87" s="52">
        <v>144.20999999999998</v>
      </c>
      <c r="T87" s="52">
        <v>84.86999999999999</v>
      </c>
      <c r="U87" s="52">
        <v>53.25</v>
      </c>
      <c r="V87" s="52">
        <v>86.61999999999999</v>
      </c>
      <c r="W87" s="52">
        <v>41.4</v>
      </c>
      <c r="X87" s="52">
        <v>51.6</v>
      </c>
      <c r="Y87" s="52">
        <v>3.64</v>
      </c>
      <c r="Z87" s="52">
        <v>40.26</v>
      </c>
      <c r="AA87" s="52">
        <v>1.82</v>
      </c>
      <c r="AB87" s="52">
        <v>18.3</v>
      </c>
      <c r="AC87" s="52">
        <v>0.74</v>
      </c>
      <c r="AD87" s="52">
        <v>0.33</v>
      </c>
      <c r="AE87" s="52">
        <v>0.12</v>
      </c>
      <c r="AF87" s="52">
        <v>0.81</v>
      </c>
      <c r="AG87" s="52">
        <v>0.25</v>
      </c>
      <c r="AH87" s="52">
        <v>0.19</v>
      </c>
      <c r="AI87" s="52">
        <v>0.11</v>
      </c>
      <c r="AJ87" s="52">
        <v>0.28999999999999998</v>
      </c>
    </row>
    <row r="88" spans="1:36" ht="25" customHeight="1" x14ac:dyDescent="0.2">
      <c r="A88" s="51">
        <v>85</v>
      </c>
      <c r="B88" s="52">
        <v>5887123.2000000002</v>
      </c>
      <c r="C88" s="52">
        <v>5165294.4000000004</v>
      </c>
      <c r="D88" s="52">
        <v>2710345.5</v>
      </c>
      <c r="E88" s="52">
        <v>2024426.79</v>
      </c>
      <c r="F88" s="52">
        <v>24115.200000000023</v>
      </c>
      <c r="G88" s="52">
        <v>1181644.8</v>
      </c>
      <c r="H88" s="52">
        <v>247115.2</v>
      </c>
      <c r="I88" s="52">
        <v>327955.20000000007</v>
      </c>
      <c r="J88" s="52">
        <v>729964.79999999993</v>
      </c>
      <c r="K88" s="52">
        <v>585955.20000000007</v>
      </c>
      <c r="L88" s="52">
        <v>72164.819999999934</v>
      </c>
      <c r="M88" s="52">
        <v>482949.18000000005</v>
      </c>
      <c r="N88" s="52">
        <v>245769.81999999995</v>
      </c>
      <c r="O88" s="52">
        <v>182436.75999999998</v>
      </c>
      <c r="P88" s="52">
        <v>232192.24000000002</v>
      </c>
      <c r="Q88" s="52">
        <v>231411.75999999998</v>
      </c>
      <c r="R88" s="52">
        <v>117.11999999999999</v>
      </c>
      <c r="S88" s="52">
        <v>200.64</v>
      </c>
      <c r="T88" s="52">
        <v>118.08</v>
      </c>
      <c r="U88" s="52">
        <v>45.75</v>
      </c>
      <c r="V88" s="52">
        <v>74.42</v>
      </c>
      <c r="W88" s="52">
        <v>22.8</v>
      </c>
      <c r="X88" s="52">
        <v>67.8</v>
      </c>
      <c r="Y88" s="52">
        <v>3.8</v>
      </c>
      <c r="Z88" s="52">
        <v>35.31</v>
      </c>
      <c r="AA88" s="52">
        <v>1.9</v>
      </c>
      <c r="AB88" s="52">
        <v>16.05</v>
      </c>
      <c r="AC88" s="52">
        <v>0.85</v>
      </c>
      <c r="AD88" s="52">
        <v>0.24</v>
      </c>
      <c r="AE88" s="52">
        <v>0.33</v>
      </c>
      <c r="AF88" s="52">
        <v>0.88</v>
      </c>
      <c r="AG88" s="52">
        <v>0.26</v>
      </c>
      <c r="AH88" s="52">
        <v>0.2</v>
      </c>
      <c r="AI88" s="52">
        <v>0.18</v>
      </c>
      <c r="AJ88" s="52">
        <v>0.3</v>
      </c>
    </row>
    <row r="89" spans="1:36" ht="25" customHeight="1" x14ac:dyDescent="0.2">
      <c r="A89" s="51">
        <v>86</v>
      </c>
      <c r="B89" s="52">
        <v>7026566.4000000004</v>
      </c>
      <c r="C89" s="52">
        <v>6165028.8000000007</v>
      </c>
      <c r="D89" s="52">
        <v>3234928.5000000005</v>
      </c>
      <c r="E89" s="52">
        <v>2416251.33</v>
      </c>
      <c r="F89" s="52">
        <v>482303.99999999988</v>
      </c>
      <c r="G89" s="52">
        <v>723456.00000000012</v>
      </c>
      <c r="H89" s="52">
        <v>705303.99999999988</v>
      </c>
      <c r="I89" s="52">
        <v>95212.80000000009</v>
      </c>
      <c r="J89" s="52">
        <v>962707.2</v>
      </c>
      <c r="K89" s="52">
        <v>353212.8000000001</v>
      </c>
      <c r="L89" s="52">
        <v>11102.28000000001</v>
      </c>
      <c r="M89" s="52">
        <v>544011.72</v>
      </c>
      <c r="N89" s="52">
        <v>184707.28</v>
      </c>
      <c r="O89" s="52">
        <v>103657.25</v>
      </c>
      <c r="P89" s="52">
        <v>310971.75</v>
      </c>
      <c r="Q89" s="52">
        <v>152632.25</v>
      </c>
      <c r="R89" s="52">
        <v>61</v>
      </c>
      <c r="S89" s="52">
        <v>104.5</v>
      </c>
      <c r="T89" s="52">
        <v>61.5</v>
      </c>
      <c r="U89" s="52">
        <v>19.5</v>
      </c>
      <c r="V89" s="52">
        <v>31.720000000000002</v>
      </c>
      <c r="W89" s="52">
        <v>26.1</v>
      </c>
      <c r="X89" s="52">
        <v>69.599999999999994</v>
      </c>
      <c r="Y89" s="52">
        <v>4.84</v>
      </c>
      <c r="Z89" s="52">
        <v>39.6</v>
      </c>
      <c r="AA89" s="52">
        <v>2.42</v>
      </c>
      <c r="AB89" s="52">
        <v>18</v>
      </c>
      <c r="AC89" s="52">
        <v>0.6</v>
      </c>
      <c r="AD89" s="52">
        <v>0.37</v>
      </c>
      <c r="AE89" s="52">
        <v>0.21</v>
      </c>
      <c r="AF89" s="52">
        <v>0.85</v>
      </c>
      <c r="AG89" s="52">
        <v>0.11</v>
      </c>
      <c r="AH89" s="52">
        <v>0.4</v>
      </c>
      <c r="AI89" s="52">
        <v>0.21</v>
      </c>
      <c r="AJ89" s="52">
        <v>0.14000000000000001</v>
      </c>
    </row>
    <row r="90" spans="1:36" ht="25" customHeight="1" x14ac:dyDescent="0.2">
      <c r="A90" s="51">
        <v>87</v>
      </c>
      <c r="B90" s="52">
        <v>5950425.5999999996</v>
      </c>
      <c r="C90" s="52">
        <v>5220835.1999999993</v>
      </c>
      <c r="D90" s="52">
        <v>2739489</v>
      </c>
      <c r="E90" s="52">
        <v>2046194.8199999998</v>
      </c>
      <c r="F90" s="52">
        <v>446131.20000000013</v>
      </c>
      <c r="G90" s="52">
        <v>759628.79999999981</v>
      </c>
      <c r="H90" s="52">
        <v>669131.20000000019</v>
      </c>
      <c r="I90" s="52">
        <v>190425.59999999995</v>
      </c>
      <c r="J90" s="52">
        <v>867494.40000000002</v>
      </c>
      <c r="K90" s="52">
        <v>448425.6</v>
      </c>
      <c r="L90" s="52">
        <v>22204.560000000019</v>
      </c>
      <c r="M90" s="52">
        <v>532909.43999999994</v>
      </c>
      <c r="N90" s="52">
        <v>195809.56000000003</v>
      </c>
      <c r="O90" s="52">
        <v>128534.99000000002</v>
      </c>
      <c r="P90" s="52">
        <v>286094.01</v>
      </c>
      <c r="Q90" s="52">
        <v>177509.99000000002</v>
      </c>
      <c r="R90" s="52">
        <v>65.88000000000001</v>
      </c>
      <c r="S90" s="52">
        <v>112.86000000000001</v>
      </c>
      <c r="T90" s="52">
        <v>66.42</v>
      </c>
      <c r="U90" s="52">
        <v>25.500000000000004</v>
      </c>
      <c r="V90" s="52">
        <v>41.480000000000004</v>
      </c>
      <c r="W90" s="52">
        <v>39</v>
      </c>
      <c r="X90" s="52">
        <v>42.599999999999994</v>
      </c>
      <c r="Y90" s="52">
        <v>4.24</v>
      </c>
      <c r="Z90" s="52">
        <v>38.279999999999994</v>
      </c>
      <c r="AA90" s="52">
        <v>2.12</v>
      </c>
      <c r="AB90" s="52">
        <v>17.399999999999999</v>
      </c>
      <c r="AC90" s="52">
        <v>0.82</v>
      </c>
      <c r="AD90" s="52">
        <v>0.11</v>
      </c>
      <c r="AE90" s="52">
        <v>0.23</v>
      </c>
      <c r="AF90" s="52">
        <v>0.89</v>
      </c>
      <c r="AG90" s="52">
        <v>0.23</v>
      </c>
      <c r="AH90" s="52">
        <v>0.4</v>
      </c>
      <c r="AI90" s="52">
        <v>0.28000000000000003</v>
      </c>
      <c r="AJ90" s="52">
        <v>0.19</v>
      </c>
    </row>
    <row r="91" spans="1:36" ht="25" customHeight="1" x14ac:dyDescent="0.2">
      <c r="A91" s="51">
        <v>88</v>
      </c>
      <c r="B91" s="52">
        <v>7279775.9999999991</v>
      </c>
      <c r="C91" s="52">
        <v>6387191.9999999991</v>
      </c>
      <c r="D91" s="52">
        <v>3351502.4999999995</v>
      </c>
      <c r="E91" s="52">
        <v>2503323.4499999997</v>
      </c>
      <c r="F91" s="52">
        <v>168806.39999999988</v>
      </c>
      <c r="G91" s="52">
        <v>1036953.6000000001</v>
      </c>
      <c r="H91" s="52">
        <v>391806.39999999991</v>
      </c>
      <c r="I91" s="52">
        <v>116371.2000000001</v>
      </c>
      <c r="J91" s="52">
        <v>941548.79999999993</v>
      </c>
      <c r="K91" s="52">
        <v>374371.20000000007</v>
      </c>
      <c r="L91" s="52">
        <v>5551.1400000000049</v>
      </c>
      <c r="M91" s="52">
        <v>549562.86</v>
      </c>
      <c r="N91" s="52">
        <v>179156.14</v>
      </c>
      <c r="O91" s="52">
        <v>140973.86000000004</v>
      </c>
      <c r="P91" s="52">
        <v>273655.13999999996</v>
      </c>
      <c r="Q91" s="52">
        <v>189948.86000000004</v>
      </c>
      <c r="R91" s="52">
        <v>98.820000000000007</v>
      </c>
      <c r="S91" s="52">
        <v>169.29000000000002</v>
      </c>
      <c r="T91" s="52">
        <v>99.63000000000001</v>
      </c>
      <c r="U91" s="52">
        <v>29.25</v>
      </c>
      <c r="V91" s="52">
        <v>47.58</v>
      </c>
      <c r="W91" s="52">
        <v>33.9</v>
      </c>
      <c r="X91" s="52">
        <v>81.600000000000009</v>
      </c>
      <c r="Y91" s="52">
        <v>3.92</v>
      </c>
      <c r="Z91" s="52">
        <v>38.61</v>
      </c>
      <c r="AA91" s="52">
        <v>1.96</v>
      </c>
      <c r="AB91" s="52">
        <v>17.549999999999997</v>
      </c>
      <c r="AC91" s="52">
        <v>0.62</v>
      </c>
      <c r="AD91" s="52">
        <v>0.39</v>
      </c>
      <c r="AE91" s="52">
        <v>0.14000000000000001</v>
      </c>
      <c r="AF91" s="52">
        <v>0.66</v>
      </c>
      <c r="AG91" s="52">
        <v>0.39</v>
      </c>
      <c r="AH91" s="52">
        <v>0.13</v>
      </c>
      <c r="AI91" s="52">
        <v>0.22</v>
      </c>
      <c r="AJ91" s="52">
        <v>0.14000000000000001</v>
      </c>
    </row>
    <row r="92" spans="1:36" ht="25" customHeight="1" x14ac:dyDescent="0.2">
      <c r="A92" s="51">
        <v>89</v>
      </c>
      <c r="B92" s="52">
        <v>5570611.2000000002</v>
      </c>
      <c r="C92" s="52">
        <v>4887590.4000000004</v>
      </c>
      <c r="D92" s="52">
        <v>2564628</v>
      </c>
      <c r="E92" s="52">
        <v>1915586.64</v>
      </c>
      <c r="F92" s="52">
        <v>229094.39999999994</v>
      </c>
      <c r="G92" s="52">
        <v>976665.60000000009</v>
      </c>
      <c r="H92" s="52">
        <v>452094.39999999991</v>
      </c>
      <c r="I92" s="52">
        <v>21158.40000000002</v>
      </c>
      <c r="J92" s="52">
        <v>1036761.6</v>
      </c>
      <c r="K92" s="52">
        <v>279158.40000000002</v>
      </c>
      <c r="L92" s="52">
        <v>5551.1400000000049</v>
      </c>
      <c r="M92" s="52">
        <v>549562.86</v>
      </c>
      <c r="N92" s="52">
        <v>179156.14</v>
      </c>
      <c r="O92" s="52">
        <v>169997.88999999996</v>
      </c>
      <c r="P92" s="52">
        <v>244631.11000000004</v>
      </c>
      <c r="Q92" s="52">
        <v>218972.88999999996</v>
      </c>
      <c r="R92" s="52">
        <v>81.740000000000009</v>
      </c>
      <c r="S92" s="52">
        <v>140.03</v>
      </c>
      <c r="T92" s="52">
        <v>82.410000000000011</v>
      </c>
      <c r="U92" s="52">
        <v>39</v>
      </c>
      <c r="V92" s="52">
        <v>63.440000000000005</v>
      </c>
      <c r="W92" s="52">
        <v>27</v>
      </c>
      <c r="X92" s="52">
        <v>45</v>
      </c>
      <c r="Y92" s="52">
        <v>4.5199999999999996</v>
      </c>
      <c r="Z92" s="52">
        <v>40.92</v>
      </c>
      <c r="AA92" s="52">
        <v>2.2599999999999998</v>
      </c>
      <c r="AB92" s="52">
        <v>18.600000000000001</v>
      </c>
      <c r="AC92" s="52">
        <v>0.82</v>
      </c>
      <c r="AD92" s="52">
        <v>0.1</v>
      </c>
      <c r="AE92" s="52">
        <v>0.28000000000000003</v>
      </c>
      <c r="AF92" s="52">
        <v>0.71</v>
      </c>
      <c r="AG92" s="52">
        <v>0.36</v>
      </c>
      <c r="AH92" s="52">
        <v>0.12</v>
      </c>
      <c r="AI92" s="52">
        <v>0.24</v>
      </c>
      <c r="AJ92" s="52">
        <v>0.17</v>
      </c>
    </row>
    <row r="93" spans="1:36" ht="25" customHeight="1" x14ac:dyDescent="0.2">
      <c r="A93" s="51">
        <v>90</v>
      </c>
      <c r="B93" s="52">
        <v>7026566.4000000004</v>
      </c>
      <c r="C93" s="52">
        <v>6165028.8000000007</v>
      </c>
      <c r="D93" s="52">
        <v>3234928.5000000005</v>
      </c>
      <c r="E93" s="52">
        <v>2416251.33</v>
      </c>
      <c r="F93" s="52">
        <v>458188.79999999987</v>
      </c>
      <c r="G93" s="52">
        <v>747571.20000000019</v>
      </c>
      <c r="H93" s="52">
        <v>681188.79999999981</v>
      </c>
      <c r="I93" s="52">
        <v>285638.40000000002</v>
      </c>
      <c r="J93" s="52">
        <v>772281.6</v>
      </c>
      <c r="K93" s="52">
        <v>543638.4</v>
      </c>
      <c r="L93" s="52">
        <v>111022.79999999997</v>
      </c>
      <c r="M93" s="52">
        <v>444091.2</v>
      </c>
      <c r="N93" s="52">
        <v>284627.8</v>
      </c>
      <c r="O93" s="52">
        <v>140973.86000000004</v>
      </c>
      <c r="P93" s="52">
        <v>273655.13999999996</v>
      </c>
      <c r="Q93" s="52">
        <v>189948.86000000004</v>
      </c>
      <c r="R93" s="52">
        <v>37.82</v>
      </c>
      <c r="S93" s="52">
        <v>64.790000000000006</v>
      </c>
      <c r="T93" s="52">
        <v>38.130000000000003</v>
      </c>
      <c r="U93" s="52">
        <v>67.5</v>
      </c>
      <c r="V93" s="52">
        <v>109.8</v>
      </c>
      <c r="W93" s="52">
        <v>18.3</v>
      </c>
      <c r="X93" s="52">
        <v>61.800000000000004</v>
      </c>
      <c r="Y93" s="52">
        <v>3.36</v>
      </c>
      <c r="Z93" s="52">
        <v>35.64</v>
      </c>
      <c r="AA93" s="52">
        <v>1.68</v>
      </c>
      <c r="AB93" s="52">
        <v>16.200000000000003</v>
      </c>
      <c r="AC93" s="52">
        <v>0.82</v>
      </c>
      <c r="AD93" s="52">
        <v>0.27</v>
      </c>
      <c r="AE93" s="52">
        <v>0.15</v>
      </c>
      <c r="AF93" s="52">
        <v>0.74</v>
      </c>
      <c r="AG93" s="52">
        <v>0.27</v>
      </c>
      <c r="AH93" s="52">
        <v>0.32</v>
      </c>
      <c r="AI93" s="52">
        <v>0.28000000000000003</v>
      </c>
      <c r="AJ93" s="52">
        <v>0.28999999999999998</v>
      </c>
    </row>
    <row r="94" spans="1:36" ht="25" customHeight="1" x14ac:dyDescent="0.2">
      <c r="A94" s="51">
        <v>91</v>
      </c>
      <c r="B94" s="52">
        <v>4937587.2</v>
      </c>
      <c r="C94" s="52">
        <v>4332182.4000000004</v>
      </c>
      <c r="D94" s="52">
        <v>2273193</v>
      </c>
      <c r="E94" s="52">
        <v>1697906.34</v>
      </c>
      <c r="F94" s="52">
        <v>602880</v>
      </c>
      <c r="G94" s="52">
        <v>602880</v>
      </c>
      <c r="H94" s="52">
        <v>825880</v>
      </c>
      <c r="I94" s="52">
        <v>285638.40000000002</v>
      </c>
      <c r="J94" s="52">
        <v>772281.6</v>
      </c>
      <c r="K94" s="52">
        <v>543638.4</v>
      </c>
      <c r="L94" s="52">
        <v>116573.93999999997</v>
      </c>
      <c r="M94" s="52">
        <v>438540.06000000006</v>
      </c>
      <c r="N94" s="52">
        <v>290178.93999999994</v>
      </c>
      <c r="O94" s="52">
        <v>178290.46999999997</v>
      </c>
      <c r="P94" s="52">
        <v>236338.53000000003</v>
      </c>
      <c r="Q94" s="52">
        <v>227265.46999999997</v>
      </c>
      <c r="R94" s="52">
        <v>36.6</v>
      </c>
      <c r="S94" s="52">
        <v>62.699999999999996</v>
      </c>
      <c r="T94" s="52">
        <v>36.9</v>
      </c>
      <c r="U94" s="52">
        <v>54</v>
      </c>
      <c r="V94" s="52">
        <v>87.84</v>
      </c>
      <c r="W94" s="52">
        <v>35.099999999999994</v>
      </c>
      <c r="X94" s="52">
        <v>65.400000000000006</v>
      </c>
      <c r="Y94" s="52">
        <v>3.2</v>
      </c>
      <c r="Z94" s="52">
        <v>38.94</v>
      </c>
      <c r="AA94" s="52">
        <v>1.6</v>
      </c>
      <c r="AB94" s="52">
        <v>17.7</v>
      </c>
      <c r="AC94" s="52">
        <v>0.66</v>
      </c>
      <c r="AD94" s="52">
        <v>0.21</v>
      </c>
      <c r="AE94" s="52">
        <v>0.31</v>
      </c>
      <c r="AF94" s="52">
        <v>0.7</v>
      </c>
      <c r="AG94" s="52">
        <v>0.3</v>
      </c>
      <c r="AH94" s="52">
        <v>0.39</v>
      </c>
      <c r="AI94" s="52">
        <v>0.26</v>
      </c>
      <c r="AJ94" s="52">
        <v>0.23</v>
      </c>
    </row>
    <row r="95" spans="1:36" ht="25" customHeight="1" x14ac:dyDescent="0.2">
      <c r="A95" s="51">
        <v>92</v>
      </c>
      <c r="B95" s="52">
        <v>7153171.1999999993</v>
      </c>
      <c r="C95" s="52">
        <v>6276110.3999999994</v>
      </c>
      <c r="D95" s="52">
        <v>3293215.4999999995</v>
      </c>
      <c r="E95" s="52">
        <v>2459787.3899999997</v>
      </c>
      <c r="F95" s="52">
        <v>168806.39999999988</v>
      </c>
      <c r="G95" s="52">
        <v>1036953.6000000001</v>
      </c>
      <c r="H95" s="52">
        <v>391806.39999999991</v>
      </c>
      <c r="I95" s="52">
        <v>380851.20000000013</v>
      </c>
      <c r="J95" s="52">
        <v>677068.79999999981</v>
      </c>
      <c r="K95" s="52">
        <v>638851.20000000019</v>
      </c>
      <c r="L95" s="52">
        <v>0</v>
      </c>
      <c r="M95" s="52">
        <v>555114</v>
      </c>
      <c r="N95" s="52">
        <v>173605</v>
      </c>
      <c r="O95" s="52">
        <v>194875.62999999998</v>
      </c>
      <c r="P95" s="52">
        <v>219753.37000000002</v>
      </c>
      <c r="Q95" s="52">
        <v>243850.62999999998</v>
      </c>
      <c r="R95" s="52">
        <v>109.8</v>
      </c>
      <c r="S95" s="52">
        <v>188.1</v>
      </c>
      <c r="T95" s="52">
        <v>110.7</v>
      </c>
      <c r="U95" s="52">
        <v>62.25</v>
      </c>
      <c r="V95" s="52">
        <v>101.25999999999999</v>
      </c>
      <c r="W95" s="52">
        <v>39.300000000000004</v>
      </c>
      <c r="X95" s="52">
        <v>55.2</v>
      </c>
      <c r="Y95" s="52">
        <v>3.84</v>
      </c>
      <c r="Z95" s="52">
        <v>33</v>
      </c>
      <c r="AA95" s="52">
        <v>1.92</v>
      </c>
      <c r="AB95" s="52">
        <v>15</v>
      </c>
      <c r="AC95" s="52">
        <v>0.81</v>
      </c>
      <c r="AD95" s="52">
        <v>0.31</v>
      </c>
      <c r="AE95" s="52">
        <v>0.15</v>
      </c>
      <c r="AF95" s="52">
        <v>0.76</v>
      </c>
      <c r="AG95" s="52">
        <v>0.19</v>
      </c>
      <c r="AH95" s="52">
        <v>0.25</v>
      </c>
      <c r="AI95" s="52">
        <v>0.27</v>
      </c>
      <c r="AJ95" s="52">
        <v>0.22</v>
      </c>
    </row>
    <row r="96" spans="1:36" ht="25" customHeight="1" x14ac:dyDescent="0.2">
      <c r="A96" s="51">
        <v>93</v>
      </c>
      <c r="B96" s="52">
        <v>4747680</v>
      </c>
      <c r="C96" s="52">
        <v>4165560</v>
      </c>
      <c r="D96" s="52">
        <v>2185762.5</v>
      </c>
      <c r="E96" s="52">
        <v>1632602.25</v>
      </c>
      <c r="F96" s="52">
        <v>36172.800000000032</v>
      </c>
      <c r="G96" s="52">
        <v>1169587.2</v>
      </c>
      <c r="H96" s="52">
        <v>259172.80000000005</v>
      </c>
      <c r="I96" s="52">
        <v>338534.40000000008</v>
      </c>
      <c r="J96" s="52">
        <v>719385.59999999986</v>
      </c>
      <c r="K96" s="52">
        <v>596534.40000000014</v>
      </c>
      <c r="L96" s="52">
        <v>83267.099999999948</v>
      </c>
      <c r="M96" s="52">
        <v>471846.9</v>
      </c>
      <c r="N96" s="52">
        <v>256872.09999999995</v>
      </c>
      <c r="O96" s="52">
        <v>174144.17999999996</v>
      </c>
      <c r="P96" s="52">
        <v>240484.82000000004</v>
      </c>
      <c r="Q96" s="52">
        <v>223119.17999999996</v>
      </c>
      <c r="R96" s="52">
        <v>93.94</v>
      </c>
      <c r="S96" s="52">
        <v>160.93</v>
      </c>
      <c r="T96" s="52">
        <v>94.710000000000008</v>
      </c>
      <c r="U96" s="52">
        <v>50.25</v>
      </c>
      <c r="V96" s="52">
        <v>81.740000000000009</v>
      </c>
      <c r="W96" s="52">
        <v>24</v>
      </c>
      <c r="X96" s="52">
        <v>70.8</v>
      </c>
      <c r="Y96" s="52">
        <v>3.56</v>
      </c>
      <c r="Z96" s="52">
        <v>37.619999999999997</v>
      </c>
      <c r="AA96" s="52">
        <v>1.78</v>
      </c>
      <c r="AB96" s="52">
        <v>17.099999999999998</v>
      </c>
      <c r="AC96" s="52">
        <v>0.72</v>
      </c>
      <c r="AD96" s="52">
        <v>0.11</v>
      </c>
      <c r="AE96" s="52">
        <v>0.38</v>
      </c>
      <c r="AF96" s="52">
        <v>0.81</v>
      </c>
      <c r="AG96" s="52">
        <v>0.16</v>
      </c>
      <c r="AH96" s="52">
        <v>0.22</v>
      </c>
      <c r="AI96" s="52">
        <v>0.28999999999999998</v>
      </c>
      <c r="AJ96" s="52">
        <v>0.2</v>
      </c>
    </row>
    <row r="97" spans="1:36" ht="25" customHeight="1" x14ac:dyDescent="0.2">
      <c r="A97" s="51">
        <v>94</v>
      </c>
      <c r="B97" s="52">
        <v>7026566.4000000004</v>
      </c>
      <c r="C97" s="52">
        <v>6165028.8000000007</v>
      </c>
      <c r="D97" s="52">
        <v>3234928.5000000005</v>
      </c>
      <c r="E97" s="52">
        <v>2416251.33</v>
      </c>
      <c r="F97" s="52">
        <v>325555.20000000001</v>
      </c>
      <c r="G97" s="52">
        <v>880204.80000000005</v>
      </c>
      <c r="H97" s="52">
        <v>548555.19999999995</v>
      </c>
      <c r="I97" s="52">
        <v>126950.40000000011</v>
      </c>
      <c r="J97" s="52">
        <v>930969.59999999986</v>
      </c>
      <c r="K97" s="52">
        <v>384950.40000000014</v>
      </c>
      <c r="L97" s="52">
        <v>122125.07999999999</v>
      </c>
      <c r="M97" s="52">
        <v>432988.92000000004</v>
      </c>
      <c r="N97" s="52">
        <v>295730.07999999996</v>
      </c>
      <c r="O97" s="52">
        <v>132681.28000000003</v>
      </c>
      <c r="P97" s="52">
        <v>281947.71999999997</v>
      </c>
      <c r="Q97" s="52">
        <v>181656.28000000003</v>
      </c>
      <c r="R97" s="52">
        <v>41.480000000000004</v>
      </c>
      <c r="S97" s="52">
        <v>71.06</v>
      </c>
      <c r="T97" s="52">
        <v>41.82</v>
      </c>
      <c r="U97" s="52">
        <v>70.5</v>
      </c>
      <c r="V97" s="52">
        <v>114.67999999999999</v>
      </c>
      <c r="W97" s="52">
        <v>29.099999999999998</v>
      </c>
      <c r="X97" s="52">
        <v>84</v>
      </c>
      <c r="Y97" s="52">
        <v>4.76</v>
      </c>
      <c r="Z97" s="52">
        <v>33.99</v>
      </c>
      <c r="AA97" s="52">
        <v>2.38</v>
      </c>
      <c r="AB97" s="52">
        <v>15.450000000000001</v>
      </c>
      <c r="AC97" s="52">
        <v>0.79</v>
      </c>
      <c r="AD97" s="52">
        <v>0.31</v>
      </c>
      <c r="AE97" s="52">
        <v>0.26</v>
      </c>
      <c r="AF97" s="52">
        <v>0.89</v>
      </c>
      <c r="AG97" s="52">
        <v>0.38</v>
      </c>
      <c r="AH97" s="52">
        <v>0.39</v>
      </c>
      <c r="AI97" s="52">
        <v>0.17</v>
      </c>
      <c r="AJ97" s="52">
        <v>0.15</v>
      </c>
    </row>
    <row r="98" spans="1:36" ht="25" customHeight="1" x14ac:dyDescent="0.2">
      <c r="A98" s="51">
        <v>95</v>
      </c>
      <c r="B98" s="52">
        <v>5887123.2000000002</v>
      </c>
      <c r="C98" s="52">
        <v>5165294.4000000004</v>
      </c>
      <c r="D98" s="52">
        <v>2710345.5</v>
      </c>
      <c r="E98" s="52">
        <v>2024426.79</v>
      </c>
      <c r="F98" s="52">
        <v>325555.20000000001</v>
      </c>
      <c r="G98" s="52">
        <v>880204.80000000005</v>
      </c>
      <c r="H98" s="52">
        <v>548555.19999999995</v>
      </c>
      <c r="I98" s="52">
        <v>0</v>
      </c>
      <c r="J98" s="52">
        <v>1057920</v>
      </c>
      <c r="K98" s="52">
        <v>258000</v>
      </c>
      <c r="L98" s="52">
        <v>83267.099999999948</v>
      </c>
      <c r="M98" s="52">
        <v>471846.9</v>
      </c>
      <c r="N98" s="52">
        <v>256872.09999999995</v>
      </c>
      <c r="O98" s="52">
        <v>107803.54000000001</v>
      </c>
      <c r="P98" s="52">
        <v>306825.45999999996</v>
      </c>
      <c r="Q98" s="52">
        <v>156778.54</v>
      </c>
      <c r="R98" s="52">
        <v>45.14</v>
      </c>
      <c r="S98" s="52">
        <v>77.33</v>
      </c>
      <c r="T98" s="52">
        <v>45.51</v>
      </c>
      <c r="U98" s="52">
        <v>57.75</v>
      </c>
      <c r="V98" s="52">
        <v>93.94</v>
      </c>
      <c r="W98" s="52">
        <v>31.8</v>
      </c>
      <c r="X98" s="52">
        <v>48.6</v>
      </c>
      <c r="Y98" s="52">
        <v>4.92</v>
      </c>
      <c r="Z98" s="52">
        <v>35.31</v>
      </c>
      <c r="AA98" s="52">
        <v>2.46</v>
      </c>
      <c r="AB98" s="52">
        <v>16.05</v>
      </c>
      <c r="AC98" s="52">
        <v>0.63</v>
      </c>
      <c r="AD98" s="52">
        <v>0.23</v>
      </c>
      <c r="AE98" s="52">
        <v>0.28999999999999998</v>
      </c>
      <c r="AF98" s="52">
        <v>0.81</v>
      </c>
      <c r="AG98" s="52">
        <v>0.36</v>
      </c>
      <c r="AH98" s="52">
        <v>0.28999999999999998</v>
      </c>
      <c r="AI98" s="52">
        <v>0.16</v>
      </c>
      <c r="AJ98" s="52">
        <v>0.1</v>
      </c>
    </row>
    <row r="99" spans="1:36" ht="25" customHeight="1" x14ac:dyDescent="0.2">
      <c r="A99" s="51">
        <v>96</v>
      </c>
      <c r="B99" s="52">
        <v>6456844.7999999998</v>
      </c>
      <c r="C99" s="52">
        <v>5665161.6000000006</v>
      </c>
      <c r="D99" s="52">
        <v>2972637</v>
      </c>
      <c r="E99" s="52">
        <v>2220339.06</v>
      </c>
      <c r="F99" s="52">
        <v>168806.39999999988</v>
      </c>
      <c r="G99" s="52">
        <v>1036953.6000000001</v>
      </c>
      <c r="H99" s="52">
        <v>391806.39999999991</v>
      </c>
      <c r="I99" s="52">
        <v>148108.7999999999</v>
      </c>
      <c r="J99" s="52">
        <v>909811.20000000007</v>
      </c>
      <c r="K99" s="52">
        <v>406108.79999999993</v>
      </c>
      <c r="L99" s="52">
        <v>66613.680000000066</v>
      </c>
      <c r="M99" s="52">
        <v>488500.31999999995</v>
      </c>
      <c r="N99" s="52">
        <v>240218.68000000005</v>
      </c>
      <c r="O99" s="52">
        <v>190729.34</v>
      </c>
      <c r="P99" s="52">
        <v>223899.66</v>
      </c>
      <c r="Q99" s="52">
        <v>239704.34</v>
      </c>
      <c r="R99" s="52">
        <v>78.08</v>
      </c>
      <c r="S99" s="52">
        <v>133.76</v>
      </c>
      <c r="T99" s="52">
        <v>78.72</v>
      </c>
      <c r="U99" s="52">
        <v>45.75</v>
      </c>
      <c r="V99" s="52">
        <v>74.42</v>
      </c>
      <c r="W99" s="52">
        <v>32.700000000000003</v>
      </c>
      <c r="X99" s="52">
        <v>82.2</v>
      </c>
      <c r="Y99" s="52">
        <v>4.88</v>
      </c>
      <c r="Z99" s="52">
        <v>38.279999999999994</v>
      </c>
      <c r="AA99" s="52">
        <v>2.44</v>
      </c>
      <c r="AB99" s="52">
        <v>17.399999999999999</v>
      </c>
      <c r="AC99" s="52">
        <v>0.9</v>
      </c>
      <c r="AD99" s="52">
        <v>0.36</v>
      </c>
      <c r="AE99" s="52">
        <v>0.14000000000000001</v>
      </c>
      <c r="AF99" s="52">
        <v>0.62</v>
      </c>
      <c r="AG99" s="52">
        <v>0.16</v>
      </c>
      <c r="AH99" s="52">
        <v>0.24</v>
      </c>
      <c r="AI99" s="52">
        <v>0.17</v>
      </c>
      <c r="AJ99" s="52">
        <v>0.19</v>
      </c>
    </row>
    <row r="100" spans="1:36" ht="25" customHeight="1" x14ac:dyDescent="0.2">
      <c r="A100" s="51">
        <v>97</v>
      </c>
      <c r="B100" s="52">
        <v>6203635.2000000002</v>
      </c>
      <c r="C100" s="52">
        <v>5442998.3999999994</v>
      </c>
      <c r="D100" s="52">
        <v>2856063</v>
      </c>
      <c r="E100" s="52">
        <v>2133266.94</v>
      </c>
      <c r="F100" s="52">
        <v>217036.79999999993</v>
      </c>
      <c r="G100" s="52">
        <v>988723.20000000007</v>
      </c>
      <c r="H100" s="52">
        <v>440036.79999999993</v>
      </c>
      <c r="I100" s="52">
        <v>31737.600000000028</v>
      </c>
      <c r="J100" s="52">
        <v>1026182.4</v>
      </c>
      <c r="K100" s="52">
        <v>289737.60000000003</v>
      </c>
      <c r="L100" s="52">
        <v>27755.700000000026</v>
      </c>
      <c r="M100" s="52">
        <v>527358.29999999993</v>
      </c>
      <c r="N100" s="52">
        <v>201360.7</v>
      </c>
      <c r="O100" s="52">
        <v>178290.46999999997</v>
      </c>
      <c r="P100" s="52">
        <v>236338.53000000003</v>
      </c>
      <c r="Q100" s="52">
        <v>227265.46999999997</v>
      </c>
      <c r="R100" s="52">
        <v>95.16</v>
      </c>
      <c r="S100" s="52">
        <v>163.02000000000001</v>
      </c>
      <c r="T100" s="52">
        <v>95.94</v>
      </c>
      <c r="U100" s="52">
        <v>72.75</v>
      </c>
      <c r="V100" s="52">
        <v>118.34</v>
      </c>
      <c r="W100" s="52">
        <v>24.3</v>
      </c>
      <c r="X100" s="52">
        <v>52.2</v>
      </c>
      <c r="Y100" s="52">
        <v>4.4800000000000004</v>
      </c>
      <c r="Z100" s="52">
        <v>34.65</v>
      </c>
      <c r="AA100" s="52">
        <v>2.2400000000000002</v>
      </c>
      <c r="AB100" s="52">
        <v>15.75</v>
      </c>
      <c r="AC100" s="52">
        <v>0.67</v>
      </c>
      <c r="AD100" s="52">
        <v>0.17</v>
      </c>
      <c r="AE100" s="52">
        <v>0.39</v>
      </c>
      <c r="AF100" s="52">
        <v>0.68</v>
      </c>
      <c r="AG100" s="52">
        <v>0.19</v>
      </c>
      <c r="AH100" s="52">
        <v>0.2</v>
      </c>
      <c r="AI100" s="52">
        <v>0.16</v>
      </c>
      <c r="AJ100" s="52">
        <v>0.15</v>
      </c>
    </row>
    <row r="101" spans="1:36" ht="25" customHeight="1" x14ac:dyDescent="0.2">
      <c r="A101" s="51">
        <v>98</v>
      </c>
      <c r="B101" s="52">
        <v>7659590.3999999994</v>
      </c>
      <c r="C101" s="52">
        <v>6720436.7999999998</v>
      </c>
      <c r="D101" s="52">
        <v>3526363.5</v>
      </c>
      <c r="E101" s="52">
        <v>2633931.63</v>
      </c>
      <c r="F101" s="52">
        <v>385843.20000000007</v>
      </c>
      <c r="G101" s="52">
        <v>819916.79999999993</v>
      </c>
      <c r="H101" s="52">
        <v>608843.20000000007</v>
      </c>
      <c r="I101" s="52">
        <v>359692.8000000001</v>
      </c>
      <c r="J101" s="52">
        <v>698227.19999999995</v>
      </c>
      <c r="K101" s="52">
        <v>617692.80000000005</v>
      </c>
      <c r="L101" s="52">
        <v>183187.62000000005</v>
      </c>
      <c r="M101" s="52">
        <v>371926.37999999995</v>
      </c>
      <c r="N101" s="52">
        <v>356792.62000000005</v>
      </c>
      <c r="O101" s="52">
        <v>95364.67</v>
      </c>
      <c r="P101" s="52">
        <v>319264.33</v>
      </c>
      <c r="Q101" s="52">
        <v>144339.66999999998</v>
      </c>
      <c r="R101" s="52">
        <v>85.399999999999991</v>
      </c>
      <c r="S101" s="52">
        <v>146.29999999999998</v>
      </c>
      <c r="T101" s="52">
        <v>86.1</v>
      </c>
      <c r="U101" s="52">
        <v>75</v>
      </c>
      <c r="V101" s="52">
        <v>122</v>
      </c>
      <c r="W101" s="52">
        <v>30.3</v>
      </c>
      <c r="X101" s="52">
        <v>40.800000000000004</v>
      </c>
      <c r="Y101" s="52">
        <v>4.8</v>
      </c>
      <c r="Z101" s="52">
        <v>40.589999999999996</v>
      </c>
      <c r="AA101" s="52">
        <v>2.4</v>
      </c>
      <c r="AB101" s="52">
        <v>18.45</v>
      </c>
      <c r="AC101" s="52">
        <v>0.73</v>
      </c>
      <c r="AD101" s="52">
        <v>0.13</v>
      </c>
      <c r="AE101" s="52">
        <v>0.25</v>
      </c>
      <c r="AF101" s="52">
        <v>0.63</v>
      </c>
      <c r="AG101" s="52">
        <v>0.18</v>
      </c>
      <c r="AH101" s="52">
        <v>0.23</v>
      </c>
      <c r="AI101" s="52">
        <v>0.13</v>
      </c>
      <c r="AJ101" s="52">
        <v>0.17</v>
      </c>
    </row>
    <row r="102" spans="1:36" ht="25" customHeight="1" x14ac:dyDescent="0.2">
      <c r="A102" s="51">
        <v>99</v>
      </c>
      <c r="B102" s="52">
        <v>5190796.8</v>
      </c>
      <c r="C102" s="52">
        <v>4554345.5999999996</v>
      </c>
      <c r="D102" s="52">
        <v>2389767</v>
      </c>
      <c r="E102" s="52">
        <v>1784978.46</v>
      </c>
      <c r="F102" s="52">
        <v>313497.60000000003</v>
      </c>
      <c r="G102" s="52">
        <v>892262.39999999991</v>
      </c>
      <c r="H102" s="52">
        <v>536497.60000000009</v>
      </c>
      <c r="I102" s="52">
        <v>454905.59999999992</v>
      </c>
      <c r="J102" s="52">
        <v>603014.40000000014</v>
      </c>
      <c r="K102" s="52">
        <v>712905.59999999986</v>
      </c>
      <c r="L102" s="52">
        <v>249801.3</v>
      </c>
      <c r="M102" s="52">
        <v>305312.7</v>
      </c>
      <c r="N102" s="52">
        <v>423406.3</v>
      </c>
      <c r="O102" s="52">
        <v>95364.67</v>
      </c>
      <c r="P102" s="52">
        <v>319264.33</v>
      </c>
      <c r="Q102" s="52">
        <v>144339.66999999998</v>
      </c>
      <c r="R102" s="52">
        <v>92.72</v>
      </c>
      <c r="S102" s="52">
        <v>158.84</v>
      </c>
      <c r="T102" s="52">
        <v>93.48</v>
      </c>
      <c r="U102" s="52">
        <v>54</v>
      </c>
      <c r="V102" s="52">
        <v>87.84</v>
      </c>
      <c r="W102" s="52">
        <v>32.400000000000006</v>
      </c>
      <c r="X102" s="52">
        <v>66</v>
      </c>
      <c r="Y102" s="52">
        <v>4.6399999999999997</v>
      </c>
      <c r="Z102" s="52">
        <v>37.29</v>
      </c>
      <c r="AA102" s="52">
        <v>2.3199999999999998</v>
      </c>
      <c r="AB102" s="52">
        <v>16.95</v>
      </c>
      <c r="AC102" s="52">
        <v>0.89</v>
      </c>
      <c r="AD102" s="52">
        <v>0.3</v>
      </c>
      <c r="AE102" s="52">
        <v>0.24</v>
      </c>
      <c r="AF102" s="52">
        <v>0.63</v>
      </c>
      <c r="AG102" s="52">
        <v>0.11</v>
      </c>
      <c r="AH102" s="52">
        <v>0.26</v>
      </c>
      <c r="AI102" s="52">
        <v>0.17</v>
      </c>
      <c r="AJ102" s="52">
        <v>0.13</v>
      </c>
    </row>
    <row r="103" spans="1:36" ht="25" customHeight="1" x14ac:dyDescent="0.2">
      <c r="A103" s="51">
        <v>100</v>
      </c>
      <c r="B103" s="52">
        <v>6773356.8000000007</v>
      </c>
      <c r="C103" s="52">
        <v>5942865.6000000006</v>
      </c>
      <c r="D103" s="52">
        <v>3118354.5</v>
      </c>
      <c r="E103" s="52">
        <v>2329179.21</v>
      </c>
      <c r="F103" s="52">
        <v>48230.400000000045</v>
      </c>
      <c r="G103" s="52">
        <v>1157529.5999999999</v>
      </c>
      <c r="H103" s="52">
        <v>271230.40000000002</v>
      </c>
      <c r="I103" s="52">
        <v>497222.39999999997</v>
      </c>
      <c r="J103" s="52">
        <v>560697.60000000009</v>
      </c>
      <c r="K103" s="52">
        <v>755222.39999999991</v>
      </c>
      <c r="L103" s="52">
        <v>160983.06000000003</v>
      </c>
      <c r="M103" s="52">
        <v>394130.93999999994</v>
      </c>
      <c r="N103" s="52">
        <v>334588.06000000006</v>
      </c>
      <c r="O103" s="52">
        <v>58048.059999999961</v>
      </c>
      <c r="P103" s="52">
        <v>356580.94000000006</v>
      </c>
      <c r="Q103" s="52">
        <v>107023.05999999997</v>
      </c>
      <c r="R103" s="52">
        <v>71.97999999999999</v>
      </c>
      <c r="S103" s="52">
        <v>123.30999999999999</v>
      </c>
      <c r="T103" s="52">
        <v>72.569999999999993</v>
      </c>
      <c r="U103" s="52">
        <v>60.750000000000007</v>
      </c>
      <c r="V103" s="52">
        <v>98.820000000000007</v>
      </c>
      <c r="W103" s="52">
        <v>38.4</v>
      </c>
      <c r="X103" s="52">
        <v>39</v>
      </c>
      <c r="Y103" s="52">
        <v>4.72</v>
      </c>
      <c r="Z103" s="52">
        <v>35.970000000000006</v>
      </c>
      <c r="AA103" s="52">
        <v>2.36</v>
      </c>
      <c r="AB103" s="52">
        <v>16.350000000000001</v>
      </c>
      <c r="AC103" s="52">
        <v>0.65</v>
      </c>
      <c r="AD103" s="52">
        <v>0.24</v>
      </c>
      <c r="AE103" s="52">
        <v>0.28000000000000003</v>
      </c>
      <c r="AF103" s="52">
        <v>0.83</v>
      </c>
      <c r="AG103" s="52">
        <v>0.3</v>
      </c>
      <c r="AH103" s="52">
        <v>0.36</v>
      </c>
      <c r="AI103" s="52">
        <v>0.17</v>
      </c>
      <c r="AJ103" s="52">
        <v>0.18</v>
      </c>
    </row>
    <row r="104" spans="1:36" ht="25" customHeight="1" x14ac:dyDescent="0.2">
      <c r="A104" s="51">
        <v>101</v>
      </c>
      <c r="B104" s="52">
        <v>6266937.5999999996</v>
      </c>
      <c r="C104" s="52">
        <v>5498539.2000000002</v>
      </c>
      <c r="D104" s="52">
        <v>2885206.5</v>
      </c>
      <c r="E104" s="52">
        <v>2155034.9700000002</v>
      </c>
      <c r="F104" s="52">
        <v>84403.20000000007</v>
      </c>
      <c r="G104" s="52">
        <v>1121356.7999999998</v>
      </c>
      <c r="H104" s="52">
        <v>307403.20000000007</v>
      </c>
      <c r="I104" s="52">
        <v>444326.39999999991</v>
      </c>
      <c r="J104" s="52">
        <v>613593.60000000009</v>
      </c>
      <c r="K104" s="52">
        <v>702326.39999999991</v>
      </c>
      <c r="L104" s="52">
        <v>155431.92000000001</v>
      </c>
      <c r="M104" s="52">
        <v>399682.07999999996</v>
      </c>
      <c r="N104" s="52">
        <v>329036.92000000004</v>
      </c>
      <c r="O104" s="52">
        <v>74633.219999999972</v>
      </c>
      <c r="P104" s="52">
        <v>339995.78</v>
      </c>
      <c r="Q104" s="52">
        <v>123608.21999999997</v>
      </c>
      <c r="R104" s="52">
        <v>67.100000000000009</v>
      </c>
      <c r="S104" s="52">
        <v>114.95</v>
      </c>
      <c r="T104" s="52">
        <v>67.650000000000006</v>
      </c>
      <c r="U104" s="52">
        <v>69</v>
      </c>
      <c r="V104" s="52">
        <v>112.24000000000001</v>
      </c>
      <c r="W104" s="52">
        <v>19.2</v>
      </c>
      <c r="X104" s="52">
        <v>78.600000000000009</v>
      </c>
      <c r="Y104" s="52">
        <v>4.32</v>
      </c>
      <c r="Z104" s="52">
        <v>34.32</v>
      </c>
      <c r="AA104" s="52">
        <v>2.16</v>
      </c>
      <c r="AB104" s="52">
        <v>15.600000000000001</v>
      </c>
      <c r="AC104" s="52">
        <v>0.86</v>
      </c>
      <c r="AD104" s="52">
        <v>0.28000000000000003</v>
      </c>
      <c r="AE104" s="52">
        <v>0.16</v>
      </c>
      <c r="AF104" s="52">
        <v>0.82</v>
      </c>
      <c r="AG104" s="52">
        <v>0.36</v>
      </c>
      <c r="AH104" s="52">
        <v>0.34</v>
      </c>
      <c r="AI104" s="52">
        <v>0.18</v>
      </c>
      <c r="AJ104" s="52">
        <v>0.16</v>
      </c>
    </row>
    <row r="105" spans="1:36" ht="25" customHeight="1" x14ac:dyDescent="0.2">
      <c r="A105" s="51">
        <v>102</v>
      </c>
      <c r="B105" s="52">
        <v>7722892.7999999998</v>
      </c>
      <c r="C105" s="52">
        <v>6775977.5999999996</v>
      </c>
      <c r="D105" s="52">
        <v>3555507</v>
      </c>
      <c r="E105" s="52">
        <v>2655699.66</v>
      </c>
      <c r="F105" s="52">
        <v>409958.40000000008</v>
      </c>
      <c r="G105" s="52">
        <v>795801.59999999986</v>
      </c>
      <c r="H105" s="52">
        <v>632958.40000000014</v>
      </c>
      <c r="I105" s="52">
        <v>190425.59999999995</v>
      </c>
      <c r="J105" s="52">
        <v>867494.40000000002</v>
      </c>
      <c r="K105" s="52">
        <v>448425.6</v>
      </c>
      <c r="L105" s="52">
        <v>249801.3</v>
      </c>
      <c r="M105" s="52">
        <v>305312.7</v>
      </c>
      <c r="N105" s="52">
        <v>423406.3</v>
      </c>
      <c r="O105" s="52">
        <v>49755.480000000047</v>
      </c>
      <c r="P105" s="52">
        <v>364873.51999999996</v>
      </c>
      <c r="Q105" s="52">
        <v>98730.48000000004</v>
      </c>
      <c r="R105" s="52">
        <v>115.89999999999999</v>
      </c>
      <c r="S105" s="52">
        <v>198.54999999999998</v>
      </c>
      <c r="T105" s="52">
        <v>116.85</v>
      </c>
      <c r="U105" s="52">
        <v>51.000000000000007</v>
      </c>
      <c r="V105" s="52">
        <v>82.960000000000008</v>
      </c>
      <c r="W105" s="52">
        <v>21.9</v>
      </c>
      <c r="X105" s="52">
        <v>61.2</v>
      </c>
      <c r="Y105" s="52">
        <v>3.96</v>
      </c>
      <c r="Z105" s="52">
        <v>36.300000000000004</v>
      </c>
      <c r="AA105" s="52">
        <v>1.98</v>
      </c>
      <c r="AB105" s="52">
        <v>16.5</v>
      </c>
      <c r="AC105" s="52">
        <v>0.7</v>
      </c>
      <c r="AD105" s="52">
        <v>0.22</v>
      </c>
      <c r="AE105" s="52">
        <v>0.4</v>
      </c>
      <c r="AF105" s="52">
        <v>0.83</v>
      </c>
      <c r="AG105" s="52">
        <v>0.17</v>
      </c>
      <c r="AH105" s="52">
        <v>0.18</v>
      </c>
      <c r="AI105" s="52">
        <v>0.25</v>
      </c>
      <c r="AJ105" s="52">
        <v>0.21</v>
      </c>
    </row>
    <row r="106" spans="1:36" ht="25" customHeight="1" x14ac:dyDescent="0.2">
      <c r="A106" s="51">
        <v>103</v>
      </c>
      <c r="B106" s="52">
        <v>5254099.2</v>
      </c>
      <c r="C106" s="52">
        <v>4609886.3999999994</v>
      </c>
      <c r="D106" s="52">
        <v>2418910.5</v>
      </c>
      <c r="E106" s="52">
        <v>1806746.49</v>
      </c>
      <c r="F106" s="52">
        <v>518476.79999999993</v>
      </c>
      <c r="G106" s="52">
        <v>687283.20000000007</v>
      </c>
      <c r="H106" s="52">
        <v>741476.79999999993</v>
      </c>
      <c r="I106" s="52">
        <v>253900.79999999999</v>
      </c>
      <c r="J106" s="52">
        <v>804019.19999999995</v>
      </c>
      <c r="K106" s="52">
        <v>511900.8</v>
      </c>
      <c r="L106" s="52">
        <v>166534.20000000001</v>
      </c>
      <c r="M106" s="52">
        <v>388579.8</v>
      </c>
      <c r="N106" s="52">
        <v>340139.2</v>
      </c>
      <c r="O106" s="52">
        <v>0</v>
      </c>
      <c r="P106" s="52">
        <v>414629</v>
      </c>
      <c r="Q106" s="52">
        <v>48975</v>
      </c>
      <c r="R106" s="52">
        <v>100.03999999999999</v>
      </c>
      <c r="S106" s="52">
        <v>171.38</v>
      </c>
      <c r="T106" s="52">
        <v>100.86</v>
      </c>
      <c r="U106" s="52">
        <v>57</v>
      </c>
      <c r="V106" s="52">
        <v>92.72</v>
      </c>
      <c r="W106" s="52">
        <v>34.799999999999997</v>
      </c>
      <c r="X106" s="52">
        <v>55.800000000000004</v>
      </c>
      <c r="Y106" s="52">
        <v>3.72</v>
      </c>
      <c r="Z106" s="52">
        <v>41.25</v>
      </c>
      <c r="AA106" s="52">
        <v>1.86</v>
      </c>
      <c r="AB106" s="52">
        <v>18.75</v>
      </c>
      <c r="AC106" s="52">
        <v>0.72</v>
      </c>
      <c r="AD106" s="52">
        <v>0.38</v>
      </c>
      <c r="AE106" s="52">
        <v>0.17</v>
      </c>
      <c r="AF106" s="52">
        <v>0.86</v>
      </c>
      <c r="AG106" s="52">
        <v>0.18</v>
      </c>
      <c r="AH106" s="52">
        <v>0.14000000000000001</v>
      </c>
      <c r="AI106" s="52">
        <v>0.26</v>
      </c>
      <c r="AJ106" s="52">
        <v>0.23</v>
      </c>
    </row>
    <row r="107" spans="1:36" ht="25" customHeight="1" x14ac:dyDescent="0.2">
      <c r="A107" s="51">
        <v>104</v>
      </c>
      <c r="B107" s="52">
        <v>6899961.6000000006</v>
      </c>
      <c r="C107" s="52">
        <v>6053947.2000000002</v>
      </c>
      <c r="D107" s="52">
        <v>3176641.5000000005</v>
      </c>
      <c r="E107" s="52">
        <v>2372715.27</v>
      </c>
      <c r="F107" s="52">
        <v>36172.800000000032</v>
      </c>
      <c r="G107" s="52">
        <v>1169587.2</v>
      </c>
      <c r="H107" s="52">
        <v>259172.80000000005</v>
      </c>
      <c r="I107" s="52">
        <v>42316.800000000039</v>
      </c>
      <c r="J107" s="52">
        <v>1015603.2</v>
      </c>
      <c r="K107" s="52">
        <v>300316.80000000005</v>
      </c>
      <c r="L107" s="52">
        <v>233147.87999999995</v>
      </c>
      <c r="M107" s="52">
        <v>321966.12000000005</v>
      </c>
      <c r="N107" s="52">
        <v>406752.87999999995</v>
      </c>
      <c r="O107" s="52">
        <v>58048.059999999961</v>
      </c>
      <c r="P107" s="52">
        <v>356580.94000000006</v>
      </c>
      <c r="Q107" s="52">
        <v>107023.05999999997</v>
      </c>
      <c r="R107" s="52">
        <v>32.940000000000005</v>
      </c>
      <c r="S107" s="52">
        <v>56.430000000000007</v>
      </c>
      <c r="T107" s="52">
        <v>33.21</v>
      </c>
      <c r="U107" s="52">
        <v>60.750000000000007</v>
      </c>
      <c r="V107" s="52">
        <v>98.820000000000007</v>
      </c>
      <c r="W107" s="52">
        <v>40.800000000000004</v>
      </c>
      <c r="X107" s="52">
        <v>73.8</v>
      </c>
      <c r="Y107" s="52">
        <v>3.84</v>
      </c>
      <c r="Z107" s="52">
        <v>33.660000000000004</v>
      </c>
      <c r="AA107" s="52">
        <v>1.92</v>
      </c>
      <c r="AB107" s="52">
        <v>15.3</v>
      </c>
      <c r="AC107" s="52">
        <v>0.64</v>
      </c>
      <c r="AD107" s="52">
        <v>0.2</v>
      </c>
      <c r="AE107" s="52">
        <v>0.37</v>
      </c>
      <c r="AF107" s="52">
        <v>0.72</v>
      </c>
      <c r="AG107" s="52">
        <v>0.28000000000000003</v>
      </c>
      <c r="AH107" s="52">
        <v>0.27</v>
      </c>
      <c r="AI107" s="52">
        <v>0.21</v>
      </c>
      <c r="AJ107" s="52">
        <v>0.27</v>
      </c>
    </row>
    <row r="108" spans="1:36" ht="25" customHeight="1" x14ac:dyDescent="0.2">
      <c r="A108" s="51">
        <v>105</v>
      </c>
      <c r="B108" s="52">
        <v>5190796.8</v>
      </c>
      <c r="C108" s="52">
        <v>4554345.5999999996</v>
      </c>
      <c r="D108" s="52">
        <v>2389767</v>
      </c>
      <c r="E108" s="52">
        <v>1784978.46</v>
      </c>
      <c r="F108" s="52">
        <v>96460.80000000009</v>
      </c>
      <c r="G108" s="52">
        <v>1109299.2</v>
      </c>
      <c r="H108" s="52">
        <v>319460.8000000001</v>
      </c>
      <c r="I108" s="52">
        <v>74054.400000000067</v>
      </c>
      <c r="J108" s="52">
        <v>983865.6</v>
      </c>
      <c r="K108" s="52">
        <v>332054.40000000008</v>
      </c>
      <c r="L108" s="52">
        <v>183187.62000000005</v>
      </c>
      <c r="M108" s="52">
        <v>371926.37999999995</v>
      </c>
      <c r="N108" s="52">
        <v>356792.62000000005</v>
      </c>
      <c r="O108" s="52">
        <v>12438.870000000012</v>
      </c>
      <c r="P108" s="52">
        <v>402190.13</v>
      </c>
      <c r="Q108" s="52">
        <v>61413.87000000001</v>
      </c>
      <c r="R108" s="52">
        <v>57.339999999999996</v>
      </c>
      <c r="S108" s="52">
        <v>98.22999999999999</v>
      </c>
      <c r="T108" s="52">
        <v>57.809999999999995</v>
      </c>
      <c r="U108" s="52">
        <v>55.5</v>
      </c>
      <c r="V108" s="52">
        <v>90.28</v>
      </c>
      <c r="W108" s="52">
        <v>21.299999999999997</v>
      </c>
      <c r="X108" s="52">
        <v>36.6</v>
      </c>
      <c r="Y108" s="52">
        <v>3.8</v>
      </c>
      <c r="Z108" s="52">
        <v>37.619999999999997</v>
      </c>
      <c r="AA108" s="52">
        <v>1.9</v>
      </c>
      <c r="AB108" s="52">
        <v>17.099999999999998</v>
      </c>
      <c r="AC108" s="52">
        <v>0.79</v>
      </c>
      <c r="AD108" s="52">
        <v>0.35</v>
      </c>
      <c r="AE108" s="52">
        <v>0.17</v>
      </c>
      <c r="AF108" s="52">
        <v>0.7</v>
      </c>
      <c r="AG108" s="52">
        <v>0.24</v>
      </c>
      <c r="AH108" s="52">
        <v>0.36</v>
      </c>
      <c r="AI108" s="52">
        <v>0.26</v>
      </c>
      <c r="AJ108" s="52">
        <v>0.27</v>
      </c>
    </row>
    <row r="109" spans="1:36" ht="25" customHeight="1" x14ac:dyDescent="0.2">
      <c r="A109" s="51">
        <v>106</v>
      </c>
      <c r="B109" s="52">
        <v>6899961.6000000006</v>
      </c>
      <c r="C109" s="52">
        <v>6053947.2000000002</v>
      </c>
      <c r="D109" s="52">
        <v>3176641.5000000005</v>
      </c>
      <c r="E109" s="52">
        <v>2372715.27</v>
      </c>
      <c r="F109" s="52">
        <v>301440</v>
      </c>
      <c r="G109" s="52">
        <v>904320</v>
      </c>
      <c r="H109" s="52">
        <v>524440</v>
      </c>
      <c r="I109" s="52">
        <v>507801.59999999998</v>
      </c>
      <c r="J109" s="52">
        <v>550118.40000000002</v>
      </c>
      <c r="K109" s="52">
        <v>765801.6</v>
      </c>
      <c r="L109" s="52">
        <v>222045.59999999995</v>
      </c>
      <c r="M109" s="52">
        <v>333068.40000000002</v>
      </c>
      <c r="N109" s="52">
        <v>395650.6</v>
      </c>
      <c r="O109" s="52">
        <v>41462.900000000038</v>
      </c>
      <c r="P109" s="52">
        <v>373166.1</v>
      </c>
      <c r="Q109" s="52">
        <v>90437.900000000038</v>
      </c>
      <c r="R109" s="52">
        <v>70.759999999999991</v>
      </c>
      <c r="S109" s="52">
        <v>121.21999999999998</v>
      </c>
      <c r="T109" s="52">
        <v>71.339999999999989</v>
      </c>
      <c r="U109" s="52">
        <v>22.5</v>
      </c>
      <c r="V109" s="52">
        <v>36.6</v>
      </c>
      <c r="W109" s="52">
        <v>25.8</v>
      </c>
      <c r="X109" s="52">
        <v>57.599999999999994</v>
      </c>
      <c r="Y109" s="52">
        <v>5</v>
      </c>
      <c r="Z109" s="52">
        <v>40.26</v>
      </c>
      <c r="AA109" s="52">
        <v>2.5</v>
      </c>
      <c r="AB109" s="52">
        <v>18.3</v>
      </c>
      <c r="AC109" s="52">
        <v>0.87</v>
      </c>
      <c r="AD109" s="52">
        <v>0.14000000000000001</v>
      </c>
      <c r="AE109" s="52">
        <v>0.33</v>
      </c>
      <c r="AF109" s="52">
        <v>0.64</v>
      </c>
      <c r="AG109" s="52">
        <v>0.38</v>
      </c>
      <c r="AH109" s="52">
        <v>0.12</v>
      </c>
      <c r="AI109" s="52">
        <v>0.26</v>
      </c>
      <c r="AJ109" s="52">
        <v>0.14000000000000001</v>
      </c>
    </row>
    <row r="110" spans="1:36" ht="25" customHeight="1" x14ac:dyDescent="0.2">
      <c r="A110" s="51">
        <v>107</v>
      </c>
      <c r="B110" s="52">
        <v>5317401.5999999996</v>
      </c>
      <c r="C110" s="52">
        <v>4665427.2</v>
      </c>
      <c r="D110" s="52">
        <v>2448054</v>
      </c>
      <c r="E110" s="52">
        <v>1828514.52</v>
      </c>
      <c r="F110" s="52">
        <v>373785.60000000009</v>
      </c>
      <c r="G110" s="52">
        <v>831974.39999999991</v>
      </c>
      <c r="H110" s="52">
        <v>596785.60000000009</v>
      </c>
      <c r="I110" s="52">
        <v>306796.80000000005</v>
      </c>
      <c r="J110" s="52">
        <v>751123.2</v>
      </c>
      <c r="K110" s="52">
        <v>564796.80000000005</v>
      </c>
      <c r="L110" s="52">
        <v>244250.15999999997</v>
      </c>
      <c r="M110" s="52">
        <v>310863.84000000003</v>
      </c>
      <c r="N110" s="52">
        <v>417855.16</v>
      </c>
      <c r="O110" s="52">
        <v>53901.769999999953</v>
      </c>
      <c r="P110" s="52">
        <v>360727.23000000004</v>
      </c>
      <c r="Q110" s="52">
        <v>102876.76999999996</v>
      </c>
      <c r="R110" s="52">
        <v>96.38000000000001</v>
      </c>
      <c r="S110" s="52">
        <v>165.11</v>
      </c>
      <c r="T110" s="52">
        <v>97.17</v>
      </c>
      <c r="U110" s="52">
        <v>27</v>
      </c>
      <c r="V110" s="52">
        <v>43.92</v>
      </c>
      <c r="W110" s="52">
        <v>29.4</v>
      </c>
      <c r="X110" s="52">
        <v>83.399999999999991</v>
      </c>
      <c r="Y110" s="52">
        <v>4.68</v>
      </c>
      <c r="Z110" s="52">
        <v>39.6</v>
      </c>
      <c r="AA110" s="52">
        <v>2.34</v>
      </c>
      <c r="AB110" s="52">
        <v>18</v>
      </c>
      <c r="AC110" s="52">
        <v>0.69</v>
      </c>
      <c r="AD110" s="52">
        <v>0.35</v>
      </c>
      <c r="AE110" s="52">
        <v>0.18</v>
      </c>
      <c r="AF110" s="52">
        <v>0.64</v>
      </c>
      <c r="AG110" s="52">
        <v>0.34</v>
      </c>
      <c r="AH110" s="52">
        <v>0.18</v>
      </c>
      <c r="AI110" s="52">
        <v>0.28000000000000003</v>
      </c>
      <c r="AJ110" s="52">
        <v>0.2</v>
      </c>
    </row>
    <row r="111" spans="1:36" ht="25" customHeight="1" x14ac:dyDescent="0.2">
      <c r="A111" s="51">
        <v>108</v>
      </c>
      <c r="B111" s="52">
        <v>6330240</v>
      </c>
      <c r="C111" s="52">
        <v>5554080</v>
      </c>
      <c r="D111" s="52">
        <v>2914350</v>
      </c>
      <c r="E111" s="52">
        <v>2176803</v>
      </c>
      <c r="F111" s="52">
        <v>192921.59999999989</v>
      </c>
      <c r="G111" s="52">
        <v>1012838.4000000001</v>
      </c>
      <c r="H111" s="52">
        <v>415921.59999999986</v>
      </c>
      <c r="I111" s="52">
        <v>412588.79999999987</v>
      </c>
      <c r="J111" s="52">
        <v>645331.20000000019</v>
      </c>
      <c r="K111" s="52">
        <v>670588.79999999981</v>
      </c>
      <c r="L111" s="52">
        <v>188738.76000000004</v>
      </c>
      <c r="M111" s="52">
        <v>366375.24</v>
      </c>
      <c r="N111" s="52">
        <v>362343.76</v>
      </c>
      <c r="O111" s="52">
        <v>58048.059999999961</v>
      </c>
      <c r="P111" s="52">
        <v>356580.94000000006</v>
      </c>
      <c r="Q111" s="52">
        <v>107023.05999999997</v>
      </c>
      <c r="R111" s="52">
        <v>43.92</v>
      </c>
      <c r="S111" s="52">
        <v>75.239999999999995</v>
      </c>
      <c r="T111" s="52">
        <v>44.28</v>
      </c>
      <c r="U111" s="52">
        <v>19.5</v>
      </c>
      <c r="V111" s="52">
        <v>31.720000000000002</v>
      </c>
      <c r="W111" s="52">
        <v>35.4</v>
      </c>
      <c r="X111" s="52">
        <v>40.800000000000004</v>
      </c>
      <c r="Y111" s="52">
        <v>4.4400000000000004</v>
      </c>
      <c r="Z111" s="52">
        <v>38.94</v>
      </c>
      <c r="AA111" s="52">
        <v>2.2200000000000002</v>
      </c>
      <c r="AB111" s="52">
        <v>17.7</v>
      </c>
      <c r="AC111" s="52">
        <v>0.87</v>
      </c>
      <c r="AD111" s="52">
        <v>0.15</v>
      </c>
      <c r="AE111" s="52">
        <v>0.3</v>
      </c>
      <c r="AF111" s="52">
        <v>0.79</v>
      </c>
      <c r="AG111" s="52">
        <v>0.17</v>
      </c>
      <c r="AH111" s="52">
        <v>0.35</v>
      </c>
      <c r="AI111" s="52">
        <v>0.19</v>
      </c>
      <c r="AJ111" s="52">
        <v>0.11</v>
      </c>
    </row>
    <row r="112" spans="1:36" ht="25" customHeight="1" x14ac:dyDescent="0.2">
      <c r="A112" s="51">
        <v>109</v>
      </c>
      <c r="B112" s="52">
        <v>5950425.5999999996</v>
      </c>
      <c r="C112" s="52">
        <v>5220835.1999999993</v>
      </c>
      <c r="D112" s="52">
        <v>2739489</v>
      </c>
      <c r="E112" s="52">
        <v>2046194.8199999998</v>
      </c>
      <c r="F112" s="52">
        <v>108518.4000000001</v>
      </c>
      <c r="G112" s="52">
        <v>1097241.5999999999</v>
      </c>
      <c r="H112" s="52">
        <v>331518.40000000008</v>
      </c>
      <c r="I112" s="52">
        <v>465484.79999999993</v>
      </c>
      <c r="J112" s="52">
        <v>592435.20000000007</v>
      </c>
      <c r="K112" s="52">
        <v>723484.79999999993</v>
      </c>
      <c r="L112" s="52">
        <v>238699.01999999996</v>
      </c>
      <c r="M112" s="52">
        <v>316414.98000000004</v>
      </c>
      <c r="N112" s="52">
        <v>412304.01999999996</v>
      </c>
      <c r="O112" s="52">
        <v>78779.50999999998</v>
      </c>
      <c r="P112" s="52">
        <v>335849.49</v>
      </c>
      <c r="Q112" s="52">
        <v>127754.50999999998</v>
      </c>
      <c r="R112" s="52">
        <v>46.36</v>
      </c>
      <c r="S112" s="52">
        <v>79.42</v>
      </c>
      <c r="T112" s="52">
        <v>46.74</v>
      </c>
      <c r="U112" s="52">
        <v>30.749999999999996</v>
      </c>
      <c r="V112" s="52">
        <v>50.019999999999996</v>
      </c>
      <c r="W112" s="52">
        <v>24.3</v>
      </c>
      <c r="X112" s="52">
        <v>72.599999999999994</v>
      </c>
      <c r="Y112" s="52">
        <v>5</v>
      </c>
      <c r="Z112" s="52">
        <v>37.29</v>
      </c>
      <c r="AA112" s="52">
        <v>2.5</v>
      </c>
      <c r="AB112" s="52">
        <v>16.95</v>
      </c>
      <c r="AC112" s="52">
        <v>0.62</v>
      </c>
      <c r="AD112" s="52">
        <v>0.31</v>
      </c>
      <c r="AE112" s="52">
        <v>0.2</v>
      </c>
      <c r="AF112" s="52">
        <v>0.87</v>
      </c>
      <c r="AG112" s="52">
        <v>0.15</v>
      </c>
      <c r="AH112" s="52">
        <v>0.33</v>
      </c>
      <c r="AI112" s="52">
        <v>0.2</v>
      </c>
      <c r="AJ112" s="52">
        <v>0.18</v>
      </c>
    </row>
    <row r="113" spans="1:36" ht="25" customHeight="1" x14ac:dyDescent="0.2">
      <c r="A113" s="51">
        <v>110</v>
      </c>
      <c r="B113" s="52">
        <v>7216473.5999999996</v>
      </c>
      <c r="C113" s="52">
        <v>6331651.1999999993</v>
      </c>
      <c r="D113" s="52">
        <v>3322358.9999999995</v>
      </c>
      <c r="E113" s="52">
        <v>2481555.42</v>
      </c>
      <c r="F113" s="52">
        <v>578764.79999999993</v>
      </c>
      <c r="G113" s="52">
        <v>626995.20000000007</v>
      </c>
      <c r="H113" s="52">
        <v>801764.79999999993</v>
      </c>
      <c r="I113" s="52">
        <v>264480</v>
      </c>
      <c r="J113" s="52">
        <v>793440</v>
      </c>
      <c r="K113" s="52">
        <v>522480</v>
      </c>
      <c r="L113" s="52">
        <v>166534.20000000001</v>
      </c>
      <c r="M113" s="52">
        <v>388579.8</v>
      </c>
      <c r="N113" s="52">
        <v>340139.2</v>
      </c>
      <c r="O113" s="52">
        <v>37316.61000000003</v>
      </c>
      <c r="P113" s="52">
        <v>377312.38999999996</v>
      </c>
      <c r="Q113" s="52">
        <v>86291.61000000003</v>
      </c>
      <c r="R113" s="52">
        <v>118.34</v>
      </c>
      <c r="S113" s="52">
        <v>202.73</v>
      </c>
      <c r="T113" s="52">
        <v>119.31</v>
      </c>
      <c r="U113" s="52">
        <v>45</v>
      </c>
      <c r="V113" s="52">
        <v>73.2</v>
      </c>
      <c r="W113" s="52">
        <v>28.5</v>
      </c>
      <c r="X113" s="52">
        <v>70.199999999999989</v>
      </c>
      <c r="Y113" s="52">
        <v>3.8</v>
      </c>
      <c r="Z113" s="52">
        <v>37.949999999999996</v>
      </c>
      <c r="AA113" s="52">
        <v>1.9</v>
      </c>
      <c r="AB113" s="52">
        <v>17.25</v>
      </c>
      <c r="AC113" s="52">
        <v>0.73</v>
      </c>
      <c r="AD113" s="52">
        <v>0.13</v>
      </c>
      <c r="AE113" s="52">
        <v>0.3</v>
      </c>
      <c r="AF113" s="52">
        <v>0.84</v>
      </c>
      <c r="AG113" s="52">
        <v>0.39</v>
      </c>
      <c r="AH113" s="52">
        <v>0.13</v>
      </c>
      <c r="AI113" s="52">
        <v>0.13</v>
      </c>
      <c r="AJ113" s="52">
        <v>0.28000000000000003</v>
      </c>
    </row>
    <row r="114" spans="1:36" ht="25" customHeight="1" x14ac:dyDescent="0.2">
      <c r="A114" s="51">
        <v>111</v>
      </c>
      <c r="B114" s="52">
        <v>5127494.4000000004</v>
      </c>
      <c r="C114" s="52">
        <v>4498804.8000000007</v>
      </c>
      <c r="D114" s="52">
        <v>2360623.5</v>
      </c>
      <c r="E114" s="52">
        <v>1763210.4300000002</v>
      </c>
      <c r="F114" s="52">
        <v>349670.40000000002</v>
      </c>
      <c r="G114" s="52">
        <v>856089.59999999998</v>
      </c>
      <c r="H114" s="52">
        <v>572670.4</v>
      </c>
      <c r="I114" s="52">
        <v>201004.79999999993</v>
      </c>
      <c r="J114" s="52">
        <v>856915.20000000007</v>
      </c>
      <c r="K114" s="52">
        <v>459004.79999999993</v>
      </c>
      <c r="L114" s="52">
        <v>255352.43999999997</v>
      </c>
      <c r="M114" s="52">
        <v>299761.56000000006</v>
      </c>
      <c r="N114" s="52">
        <v>428957.43999999994</v>
      </c>
      <c r="O114" s="52">
        <v>74633.219999999972</v>
      </c>
      <c r="P114" s="52">
        <v>339995.78</v>
      </c>
      <c r="Q114" s="52">
        <v>123608.21999999997</v>
      </c>
      <c r="R114" s="52">
        <v>104.92</v>
      </c>
      <c r="S114" s="52">
        <v>179.74</v>
      </c>
      <c r="T114" s="52">
        <v>105.78</v>
      </c>
      <c r="U114" s="52">
        <v>32.25</v>
      </c>
      <c r="V114" s="52">
        <v>52.46</v>
      </c>
      <c r="W114" s="52">
        <v>41.699999999999996</v>
      </c>
      <c r="X114" s="52">
        <v>59.4</v>
      </c>
      <c r="Y114" s="52">
        <v>3.6</v>
      </c>
      <c r="Z114" s="52">
        <v>34.980000000000004</v>
      </c>
      <c r="AA114" s="52">
        <v>1.8</v>
      </c>
      <c r="AB114" s="52">
        <v>15.9</v>
      </c>
      <c r="AC114" s="52">
        <v>0.7</v>
      </c>
      <c r="AD114" s="52">
        <v>0.27</v>
      </c>
      <c r="AE114" s="52">
        <v>0.15</v>
      </c>
      <c r="AF114" s="52">
        <v>0.79</v>
      </c>
      <c r="AG114" s="52">
        <v>0.35</v>
      </c>
      <c r="AH114" s="52">
        <v>0.23</v>
      </c>
      <c r="AI114" s="52">
        <v>0.12</v>
      </c>
      <c r="AJ114" s="52">
        <v>0.24</v>
      </c>
    </row>
    <row r="115" spans="1:36" ht="25" customHeight="1" x14ac:dyDescent="0.2">
      <c r="A115" s="51">
        <v>112</v>
      </c>
      <c r="B115" s="52">
        <v>7786195.2000000002</v>
      </c>
      <c r="C115" s="52">
        <v>6831518.3999999994</v>
      </c>
      <c r="D115" s="52">
        <v>3584650.5</v>
      </c>
      <c r="E115" s="52">
        <v>2677467.69</v>
      </c>
      <c r="F115" s="52">
        <v>132633.60000000012</v>
      </c>
      <c r="G115" s="52">
        <v>1073126.3999999999</v>
      </c>
      <c r="H115" s="52">
        <v>355633.60000000009</v>
      </c>
      <c r="I115" s="52">
        <v>169267.19999999992</v>
      </c>
      <c r="J115" s="52">
        <v>888652.80000000005</v>
      </c>
      <c r="K115" s="52">
        <v>427267.19999999995</v>
      </c>
      <c r="L115" s="52">
        <v>149880.78</v>
      </c>
      <c r="M115" s="52">
        <v>405233.22</v>
      </c>
      <c r="N115" s="52">
        <v>323485.78000000003</v>
      </c>
      <c r="O115" s="52">
        <v>45609.190000000039</v>
      </c>
      <c r="P115" s="52">
        <v>369019.80999999994</v>
      </c>
      <c r="Q115" s="52">
        <v>94584.190000000031</v>
      </c>
      <c r="R115" s="52">
        <v>56.120000000000005</v>
      </c>
      <c r="S115" s="52">
        <v>96.14</v>
      </c>
      <c r="T115" s="52">
        <v>56.580000000000005</v>
      </c>
      <c r="U115" s="52">
        <v>49.5</v>
      </c>
      <c r="V115" s="52">
        <v>80.52000000000001</v>
      </c>
      <c r="W115" s="52">
        <v>38.700000000000003</v>
      </c>
      <c r="X115" s="52">
        <v>75.599999999999994</v>
      </c>
      <c r="Y115" s="52">
        <v>3.52</v>
      </c>
      <c r="Z115" s="52">
        <v>36.96</v>
      </c>
      <c r="AA115" s="52">
        <v>1.76</v>
      </c>
      <c r="AB115" s="52">
        <v>16.8</v>
      </c>
      <c r="AC115" s="52">
        <v>0.85</v>
      </c>
      <c r="AD115" s="52">
        <v>0.15</v>
      </c>
      <c r="AE115" s="52">
        <v>0.4</v>
      </c>
      <c r="AF115" s="52">
        <v>0.71</v>
      </c>
      <c r="AG115" s="52">
        <v>0.26</v>
      </c>
      <c r="AH115" s="52">
        <v>0.38</v>
      </c>
      <c r="AI115" s="52">
        <v>0.11</v>
      </c>
      <c r="AJ115" s="52">
        <v>0.26</v>
      </c>
    </row>
    <row r="116" spans="1:36" ht="25" customHeight="1" x14ac:dyDescent="0.2">
      <c r="A116" s="51">
        <v>113</v>
      </c>
      <c r="B116" s="52">
        <v>6077030.3999999994</v>
      </c>
      <c r="C116" s="52">
        <v>5331916.7999999998</v>
      </c>
      <c r="D116" s="52">
        <v>2797776</v>
      </c>
      <c r="E116" s="52">
        <v>2089730.88</v>
      </c>
      <c r="F116" s="52">
        <v>72345.600000000064</v>
      </c>
      <c r="G116" s="52">
        <v>1133414.3999999999</v>
      </c>
      <c r="H116" s="52">
        <v>295345.60000000009</v>
      </c>
      <c r="I116" s="52">
        <v>95212.80000000009</v>
      </c>
      <c r="J116" s="52">
        <v>962707.2</v>
      </c>
      <c r="K116" s="52">
        <v>353212.8000000001</v>
      </c>
      <c r="L116" s="52">
        <v>227596.73999999996</v>
      </c>
      <c r="M116" s="52">
        <v>327517.26</v>
      </c>
      <c r="N116" s="52">
        <v>401201.74</v>
      </c>
      <c r="O116" s="52">
        <v>8292.5800000000072</v>
      </c>
      <c r="P116" s="52">
        <v>406336.42</v>
      </c>
      <c r="Q116" s="52">
        <v>57267.580000000009</v>
      </c>
      <c r="R116" s="52">
        <v>50.019999999999996</v>
      </c>
      <c r="S116" s="52">
        <v>85.69</v>
      </c>
      <c r="T116" s="52">
        <v>50.43</v>
      </c>
      <c r="U116" s="52">
        <v>37.5</v>
      </c>
      <c r="V116" s="52">
        <v>61</v>
      </c>
      <c r="W116" s="52">
        <v>23.400000000000002</v>
      </c>
      <c r="X116" s="52">
        <v>50.4</v>
      </c>
      <c r="Y116" s="52">
        <v>3.48</v>
      </c>
      <c r="Z116" s="52">
        <v>36.300000000000004</v>
      </c>
      <c r="AA116" s="52">
        <v>1.74</v>
      </c>
      <c r="AB116" s="52">
        <v>16.5</v>
      </c>
      <c r="AC116" s="52">
        <v>0.61</v>
      </c>
      <c r="AD116" s="52">
        <v>0.26</v>
      </c>
      <c r="AE116" s="52">
        <v>0.18</v>
      </c>
      <c r="AF116" s="52">
        <v>0.72</v>
      </c>
      <c r="AG116" s="52">
        <v>0.21</v>
      </c>
      <c r="AH116" s="52">
        <v>0.22</v>
      </c>
      <c r="AI116" s="52">
        <v>0.13</v>
      </c>
      <c r="AJ116" s="52">
        <v>0.27</v>
      </c>
    </row>
    <row r="117" spans="1:36" ht="25" customHeight="1" x14ac:dyDescent="0.2">
      <c r="A117" s="51">
        <v>114</v>
      </c>
      <c r="B117" s="52">
        <v>6456844.7999999998</v>
      </c>
      <c r="C117" s="52">
        <v>5665161.6000000006</v>
      </c>
      <c r="D117" s="52">
        <v>2972637</v>
      </c>
      <c r="E117" s="52">
        <v>2220339.06</v>
      </c>
      <c r="F117" s="52">
        <v>361728.00000000006</v>
      </c>
      <c r="G117" s="52">
        <v>844032</v>
      </c>
      <c r="H117" s="52">
        <v>584728</v>
      </c>
      <c r="I117" s="52">
        <v>423167.99999999988</v>
      </c>
      <c r="J117" s="52">
        <v>634752.00000000012</v>
      </c>
      <c r="K117" s="52">
        <v>681167.99999999988</v>
      </c>
      <c r="L117" s="52">
        <v>11102.28000000001</v>
      </c>
      <c r="M117" s="52">
        <v>544011.72</v>
      </c>
      <c r="N117" s="52">
        <v>184707.28</v>
      </c>
      <c r="O117" s="52">
        <v>53901.769999999953</v>
      </c>
      <c r="P117" s="52">
        <v>360727.23000000004</v>
      </c>
      <c r="Q117" s="52">
        <v>102876.76999999996</v>
      </c>
      <c r="R117" s="52">
        <v>103.7</v>
      </c>
      <c r="S117" s="52">
        <v>177.65</v>
      </c>
      <c r="T117" s="52">
        <v>104.55</v>
      </c>
      <c r="U117" s="52">
        <v>72</v>
      </c>
      <c r="V117" s="52">
        <v>117.11999999999999</v>
      </c>
      <c r="W117" s="52">
        <v>18.899999999999999</v>
      </c>
      <c r="X117" s="52">
        <v>42</v>
      </c>
      <c r="Y117" s="52">
        <v>4.92</v>
      </c>
      <c r="Z117" s="52">
        <v>25.41</v>
      </c>
      <c r="AA117" s="52">
        <v>2.46</v>
      </c>
      <c r="AB117" s="52">
        <v>11.55</v>
      </c>
      <c r="AC117" s="52">
        <v>0.61</v>
      </c>
      <c r="AD117" s="52">
        <v>0.28000000000000003</v>
      </c>
      <c r="AE117" s="52">
        <v>0.33</v>
      </c>
      <c r="AF117" s="52">
        <v>0.61</v>
      </c>
      <c r="AG117" s="52">
        <v>0.27</v>
      </c>
      <c r="AH117" s="52">
        <v>0.33</v>
      </c>
      <c r="AI117" s="52">
        <v>0.16</v>
      </c>
      <c r="AJ117" s="52">
        <v>0.28000000000000003</v>
      </c>
    </row>
    <row r="118" spans="1:36" ht="25" customHeight="1" x14ac:dyDescent="0.2">
      <c r="A118" s="51">
        <v>115</v>
      </c>
      <c r="B118" s="52">
        <v>5317401.5999999996</v>
      </c>
      <c r="C118" s="52">
        <v>4665427.2</v>
      </c>
      <c r="D118" s="52">
        <v>2448054</v>
      </c>
      <c r="E118" s="52">
        <v>1828514.52</v>
      </c>
      <c r="F118" s="52">
        <v>554649.59999999998</v>
      </c>
      <c r="G118" s="52">
        <v>651110.40000000002</v>
      </c>
      <c r="H118" s="52">
        <v>777649.6</v>
      </c>
      <c r="I118" s="52">
        <v>465484.79999999993</v>
      </c>
      <c r="J118" s="52">
        <v>592435.20000000007</v>
      </c>
      <c r="K118" s="52">
        <v>723484.79999999993</v>
      </c>
      <c r="L118" s="52">
        <v>116573.93999999997</v>
      </c>
      <c r="M118" s="52">
        <v>438540.06000000006</v>
      </c>
      <c r="N118" s="52">
        <v>290178.93999999994</v>
      </c>
      <c r="O118" s="52">
        <v>45609.190000000039</v>
      </c>
      <c r="P118" s="52">
        <v>369019.80999999994</v>
      </c>
      <c r="Q118" s="52">
        <v>94584.190000000031</v>
      </c>
      <c r="R118" s="52">
        <v>76.86</v>
      </c>
      <c r="S118" s="52">
        <v>131.66999999999999</v>
      </c>
      <c r="T118" s="52">
        <v>77.489999999999995</v>
      </c>
      <c r="U118" s="52">
        <v>60</v>
      </c>
      <c r="V118" s="52">
        <v>97.600000000000009</v>
      </c>
      <c r="W118" s="52">
        <v>32.400000000000006</v>
      </c>
      <c r="X118" s="52">
        <v>76.8</v>
      </c>
      <c r="Y118" s="52">
        <v>4.96</v>
      </c>
      <c r="Z118" s="52">
        <v>29.04</v>
      </c>
      <c r="AA118" s="52">
        <v>2.48</v>
      </c>
      <c r="AB118" s="52">
        <v>13.2</v>
      </c>
      <c r="AC118" s="52">
        <v>0.78</v>
      </c>
      <c r="AD118" s="52">
        <v>0.12</v>
      </c>
      <c r="AE118" s="52">
        <v>0.16</v>
      </c>
      <c r="AF118" s="52">
        <v>0.73</v>
      </c>
      <c r="AG118" s="52">
        <v>0.22</v>
      </c>
      <c r="AH118" s="52">
        <v>0.39</v>
      </c>
      <c r="AI118" s="52">
        <v>0.14000000000000001</v>
      </c>
      <c r="AJ118" s="52">
        <v>0.26</v>
      </c>
    </row>
    <row r="119" spans="1:36" ht="25" customHeight="1" x14ac:dyDescent="0.2">
      <c r="A119" s="51">
        <v>116</v>
      </c>
      <c r="B119" s="52">
        <v>6646752</v>
      </c>
      <c r="C119" s="52">
        <v>5831784</v>
      </c>
      <c r="D119" s="52">
        <v>3060067.5</v>
      </c>
      <c r="E119" s="52">
        <v>2285643.15</v>
      </c>
      <c r="F119" s="52">
        <v>277324.79999999999</v>
      </c>
      <c r="G119" s="52">
        <v>928435.19999999995</v>
      </c>
      <c r="H119" s="52">
        <v>500324.8</v>
      </c>
      <c r="I119" s="52">
        <v>359692.8000000001</v>
      </c>
      <c r="J119" s="52">
        <v>698227.19999999995</v>
      </c>
      <c r="K119" s="52">
        <v>617692.80000000005</v>
      </c>
      <c r="L119" s="52">
        <v>61062.540000000052</v>
      </c>
      <c r="M119" s="52">
        <v>494051.45999999996</v>
      </c>
      <c r="N119" s="52">
        <v>234667.54000000004</v>
      </c>
      <c r="O119" s="52">
        <v>99510.959999999992</v>
      </c>
      <c r="P119" s="52">
        <v>315118.04000000004</v>
      </c>
      <c r="Q119" s="52">
        <v>148485.96</v>
      </c>
      <c r="R119" s="52">
        <v>54.9</v>
      </c>
      <c r="S119" s="52">
        <v>94.05</v>
      </c>
      <c r="T119" s="52">
        <v>55.35</v>
      </c>
      <c r="U119" s="52">
        <v>65.25</v>
      </c>
      <c r="V119" s="52">
        <v>106.14</v>
      </c>
      <c r="W119" s="52">
        <v>37.799999999999997</v>
      </c>
      <c r="X119" s="52">
        <v>41.4</v>
      </c>
      <c r="Y119" s="52">
        <v>4.72</v>
      </c>
      <c r="Z119" s="52">
        <v>30.69</v>
      </c>
      <c r="AA119" s="52">
        <v>2.36</v>
      </c>
      <c r="AB119" s="52">
        <v>13.950000000000001</v>
      </c>
      <c r="AC119" s="52">
        <v>0.75</v>
      </c>
      <c r="AD119" s="52">
        <v>0.37</v>
      </c>
      <c r="AE119" s="52">
        <v>0.31</v>
      </c>
      <c r="AF119" s="52">
        <v>0.84</v>
      </c>
      <c r="AG119" s="52">
        <v>0.4</v>
      </c>
      <c r="AH119" s="52">
        <v>0.21</v>
      </c>
      <c r="AI119" s="52">
        <v>0.18</v>
      </c>
      <c r="AJ119" s="52">
        <v>0.22</v>
      </c>
    </row>
    <row r="120" spans="1:36" ht="25" customHeight="1" x14ac:dyDescent="0.2">
      <c r="A120" s="51">
        <v>117</v>
      </c>
      <c r="B120" s="52">
        <v>5000889.6000000006</v>
      </c>
      <c r="C120" s="52">
        <v>4387723.2</v>
      </c>
      <c r="D120" s="52">
        <v>2302336.5</v>
      </c>
      <c r="E120" s="52">
        <v>1719674.37</v>
      </c>
      <c r="F120" s="52">
        <v>108518.4000000001</v>
      </c>
      <c r="G120" s="52">
        <v>1097241.5999999999</v>
      </c>
      <c r="H120" s="52">
        <v>331518.40000000008</v>
      </c>
      <c r="I120" s="52">
        <v>454905.59999999992</v>
      </c>
      <c r="J120" s="52">
        <v>603014.40000000014</v>
      </c>
      <c r="K120" s="52">
        <v>712905.59999999986</v>
      </c>
      <c r="L120" s="52">
        <v>33306.840000000033</v>
      </c>
      <c r="M120" s="52">
        <v>521807.16</v>
      </c>
      <c r="N120" s="52">
        <v>206911.84000000003</v>
      </c>
      <c r="O120" s="52">
        <v>53901.769999999953</v>
      </c>
      <c r="P120" s="52">
        <v>360727.23000000004</v>
      </c>
      <c r="Q120" s="52">
        <v>102876.76999999996</v>
      </c>
      <c r="R120" s="52">
        <v>52.46</v>
      </c>
      <c r="S120" s="52">
        <v>89.87</v>
      </c>
      <c r="T120" s="52">
        <v>52.89</v>
      </c>
      <c r="U120" s="52">
        <v>57.75</v>
      </c>
      <c r="V120" s="52">
        <v>93.94</v>
      </c>
      <c r="W120" s="52">
        <v>28.799999999999997</v>
      </c>
      <c r="X120" s="52">
        <v>67.2</v>
      </c>
      <c r="Y120" s="52">
        <v>4.68</v>
      </c>
      <c r="Z120" s="52">
        <v>27.06</v>
      </c>
      <c r="AA120" s="52">
        <v>2.34</v>
      </c>
      <c r="AB120" s="52">
        <v>12.299999999999999</v>
      </c>
      <c r="AC120" s="52">
        <v>0.79</v>
      </c>
      <c r="AD120" s="52">
        <v>0.17</v>
      </c>
      <c r="AE120" s="52">
        <v>0.24</v>
      </c>
      <c r="AF120" s="52">
        <v>0.88</v>
      </c>
      <c r="AG120" s="52">
        <v>0.31</v>
      </c>
      <c r="AH120" s="52">
        <v>0.11</v>
      </c>
      <c r="AI120" s="52">
        <v>0.13</v>
      </c>
      <c r="AJ120" s="52">
        <v>0.21</v>
      </c>
    </row>
    <row r="121" spans="1:36" ht="25" customHeight="1" x14ac:dyDescent="0.2">
      <c r="A121" s="51">
        <v>118</v>
      </c>
      <c r="B121" s="52">
        <v>6899961.6000000006</v>
      </c>
      <c r="C121" s="52">
        <v>6053947.2000000002</v>
      </c>
      <c r="D121" s="52">
        <v>3176641.5000000005</v>
      </c>
      <c r="E121" s="52">
        <v>2372715.27</v>
      </c>
      <c r="F121" s="52">
        <v>482303.99999999988</v>
      </c>
      <c r="G121" s="52">
        <v>723456.00000000012</v>
      </c>
      <c r="H121" s="52">
        <v>705303.99999999988</v>
      </c>
      <c r="I121" s="52">
        <v>211583.99999999994</v>
      </c>
      <c r="J121" s="52">
        <v>846336</v>
      </c>
      <c r="K121" s="52">
        <v>469583.99999999994</v>
      </c>
      <c r="L121" s="52">
        <v>138778.5</v>
      </c>
      <c r="M121" s="52">
        <v>416335.5</v>
      </c>
      <c r="N121" s="52">
        <v>312383.5</v>
      </c>
      <c r="O121" s="52">
        <v>8292.5800000000072</v>
      </c>
      <c r="P121" s="52">
        <v>406336.42</v>
      </c>
      <c r="Q121" s="52">
        <v>57267.580000000009</v>
      </c>
      <c r="R121" s="52">
        <v>120.78</v>
      </c>
      <c r="S121" s="52">
        <v>206.91</v>
      </c>
      <c r="T121" s="52">
        <v>121.77</v>
      </c>
      <c r="U121" s="52">
        <v>55.5</v>
      </c>
      <c r="V121" s="52">
        <v>90.28</v>
      </c>
      <c r="W121" s="52">
        <v>22.2</v>
      </c>
      <c r="X121" s="52">
        <v>80.400000000000006</v>
      </c>
      <c r="Y121" s="52">
        <v>3.44</v>
      </c>
      <c r="Z121" s="52">
        <v>31.68</v>
      </c>
      <c r="AA121" s="52">
        <v>1.72</v>
      </c>
      <c r="AB121" s="52">
        <v>14.399999999999999</v>
      </c>
      <c r="AC121" s="52">
        <v>0.69</v>
      </c>
      <c r="AD121" s="52">
        <v>0.28999999999999998</v>
      </c>
      <c r="AE121" s="52">
        <v>0.37</v>
      </c>
      <c r="AF121" s="52">
        <v>0.8</v>
      </c>
      <c r="AG121" s="52">
        <v>0.21</v>
      </c>
      <c r="AH121" s="52">
        <v>0.35</v>
      </c>
      <c r="AI121" s="52">
        <v>0.19</v>
      </c>
      <c r="AJ121" s="52">
        <v>0.13</v>
      </c>
    </row>
    <row r="122" spans="1:36" ht="25" customHeight="1" x14ac:dyDescent="0.2">
      <c r="A122" s="51">
        <v>119</v>
      </c>
      <c r="B122" s="52">
        <v>5190796.8</v>
      </c>
      <c r="C122" s="52">
        <v>4554345.5999999996</v>
      </c>
      <c r="D122" s="52">
        <v>2389767</v>
      </c>
      <c r="E122" s="52">
        <v>1784978.46</v>
      </c>
      <c r="F122" s="52">
        <v>530534.39999999991</v>
      </c>
      <c r="G122" s="52">
        <v>675225.60000000009</v>
      </c>
      <c r="H122" s="52">
        <v>753534.39999999991</v>
      </c>
      <c r="I122" s="52">
        <v>42316.800000000039</v>
      </c>
      <c r="J122" s="52">
        <v>1015603.2</v>
      </c>
      <c r="K122" s="52">
        <v>300316.80000000005</v>
      </c>
      <c r="L122" s="52">
        <v>105471.65999999997</v>
      </c>
      <c r="M122" s="52">
        <v>449642.34</v>
      </c>
      <c r="N122" s="52">
        <v>279076.65999999997</v>
      </c>
      <c r="O122" s="52">
        <v>16585.160000000014</v>
      </c>
      <c r="P122" s="52">
        <v>398043.83999999997</v>
      </c>
      <c r="Q122" s="52">
        <v>65560.160000000018</v>
      </c>
      <c r="R122" s="52">
        <v>122</v>
      </c>
      <c r="S122" s="52">
        <v>209</v>
      </c>
      <c r="T122" s="52">
        <v>123</v>
      </c>
      <c r="U122" s="52">
        <v>69.75</v>
      </c>
      <c r="V122" s="52">
        <v>113.46000000000001</v>
      </c>
      <c r="W122" s="52">
        <v>39.900000000000006</v>
      </c>
      <c r="X122" s="52">
        <v>58.199999999999996</v>
      </c>
      <c r="Y122" s="52">
        <v>4</v>
      </c>
      <c r="Z122" s="52">
        <v>30.360000000000003</v>
      </c>
      <c r="AA122" s="52">
        <v>2</v>
      </c>
      <c r="AB122" s="52">
        <v>13.8</v>
      </c>
      <c r="AC122" s="52">
        <v>0.83</v>
      </c>
      <c r="AD122" s="52">
        <v>0.25</v>
      </c>
      <c r="AE122" s="52">
        <v>0.11</v>
      </c>
      <c r="AF122" s="52">
        <v>0.77</v>
      </c>
      <c r="AG122" s="52">
        <v>0.12</v>
      </c>
      <c r="AH122" s="52">
        <v>0.31</v>
      </c>
      <c r="AI122" s="52">
        <v>0.24</v>
      </c>
      <c r="AJ122" s="52">
        <v>0.15</v>
      </c>
    </row>
    <row r="123" spans="1:36" ht="25" customHeight="1" x14ac:dyDescent="0.2">
      <c r="A123" s="51">
        <v>120</v>
      </c>
      <c r="B123" s="52">
        <v>7279775.9999999991</v>
      </c>
      <c r="C123" s="52">
        <v>6387191.9999999991</v>
      </c>
      <c r="D123" s="52">
        <v>3351502.4999999995</v>
      </c>
      <c r="E123" s="52">
        <v>2503323.4499999997</v>
      </c>
      <c r="F123" s="52">
        <v>192921.59999999989</v>
      </c>
      <c r="G123" s="52">
        <v>1012838.4000000001</v>
      </c>
      <c r="H123" s="52">
        <v>415921.59999999986</v>
      </c>
      <c r="I123" s="52">
        <v>243321.59999999998</v>
      </c>
      <c r="J123" s="52">
        <v>814598.4</v>
      </c>
      <c r="K123" s="52">
        <v>501321.6</v>
      </c>
      <c r="L123" s="52">
        <v>88818.239999999962</v>
      </c>
      <c r="M123" s="52">
        <v>466295.76</v>
      </c>
      <c r="N123" s="52">
        <v>262423.24</v>
      </c>
      <c r="O123" s="52">
        <v>4146.2900000000036</v>
      </c>
      <c r="P123" s="52">
        <v>410482.71</v>
      </c>
      <c r="Q123" s="52">
        <v>53121.29</v>
      </c>
      <c r="R123" s="52">
        <v>45.14</v>
      </c>
      <c r="S123" s="52">
        <v>77.33</v>
      </c>
      <c r="T123" s="52">
        <v>45.51</v>
      </c>
      <c r="U123" s="52">
        <v>52.5</v>
      </c>
      <c r="V123" s="52">
        <v>85.399999999999991</v>
      </c>
      <c r="W123" s="52">
        <v>40.5</v>
      </c>
      <c r="X123" s="52">
        <v>73.8</v>
      </c>
      <c r="Y123" s="52">
        <v>3.36</v>
      </c>
      <c r="Z123" s="52">
        <v>27.72</v>
      </c>
      <c r="AA123" s="52">
        <v>1.68</v>
      </c>
      <c r="AB123" s="52">
        <v>12.6</v>
      </c>
      <c r="AC123" s="52">
        <v>0.69</v>
      </c>
      <c r="AD123" s="52">
        <v>0.34</v>
      </c>
      <c r="AE123" s="52">
        <v>0.38</v>
      </c>
      <c r="AF123" s="52">
        <v>0.6</v>
      </c>
      <c r="AG123" s="52">
        <v>0.28999999999999998</v>
      </c>
      <c r="AH123" s="52">
        <v>0.21</v>
      </c>
      <c r="AI123" s="52">
        <v>0.26</v>
      </c>
      <c r="AJ123" s="52">
        <v>0.18</v>
      </c>
    </row>
    <row r="124" spans="1:36" ht="25" customHeight="1" x14ac:dyDescent="0.2">
      <c r="A124" s="51">
        <v>121</v>
      </c>
      <c r="B124" s="52">
        <v>5127494.4000000004</v>
      </c>
      <c r="C124" s="52">
        <v>4498804.8000000007</v>
      </c>
      <c r="D124" s="52">
        <v>2360623.5</v>
      </c>
      <c r="E124" s="52">
        <v>1763210.4300000002</v>
      </c>
      <c r="F124" s="52">
        <v>84403.20000000007</v>
      </c>
      <c r="G124" s="52">
        <v>1121356.7999999998</v>
      </c>
      <c r="H124" s="52">
        <v>307403.20000000007</v>
      </c>
      <c r="I124" s="52">
        <v>95212.80000000009</v>
      </c>
      <c r="J124" s="52">
        <v>962707.2</v>
      </c>
      <c r="K124" s="52">
        <v>353212.8000000001</v>
      </c>
      <c r="L124" s="52">
        <v>49960.260000000046</v>
      </c>
      <c r="M124" s="52">
        <v>505153.73999999993</v>
      </c>
      <c r="N124" s="52">
        <v>223565.26000000004</v>
      </c>
      <c r="O124" s="52">
        <v>4146.2900000000036</v>
      </c>
      <c r="P124" s="52">
        <v>410482.71</v>
      </c>
      <c r="Q124" s="52">
        <v>53121.29</v>
      </c>
      <c r="R124" s="52">
        <v>35.379999999999995</v>
      </c>
      <c r="S124" s="52">
        <v>60.609999999999992</v>
      </c>
      <c r="T124" s="52">
        <v>35.669999999999995</v>
      </c>
      <c r="U124" s="52">
        <v>52.5</v>
      </c>
      <c r="V124" s="52">
        <v>85.399999999999991</v>
      </c>
      <c r="W124" s="52">
        <v>27.3</v>
      </c>
      <c r="X124" s="52">
        <v>56.4</v>
      </c>
      <c r="Y124" s="52">
        <v>3.24</v>
      </c>
      <c r="Z124" s="52">
        <v>29.37</v>
      </c>
      <c r="AA124" s="52">
        <v>1.62</v>
      </c>
      <c r="AB124" s="52">
        <v>13.35</v>
      </c>
      <c r="AC124" s="52">
        <v>0.84</v>
      </c>
      <c r="AD124" s="52">
        <v>0.2</v>
      </c>
      <c r="AE124" s="52">
        <v>0.1</v>
      </c>
      <c r="AF124" s="52">
        <v>0.74</v>
      </c>
      <c r="AG124" s="52">
        <v>0.37</v>
      </c>
      <c r="AH124" s="52">
        <v>0.26</v>
      </c>
      <c r="AI124" s="52">
        <v>0.23</v>
      </c>
      <c r="AJ124" s="52">
        <v>0.14000000000000001</v>
      </c>
    </row>
    <row r="125" spans="1:36" ht="25" customHeight="1" x14ac:dyDescent="0.2">
      <c r="A125" s="51">
        <v>122</v>
      </c>
      <c r="B125" s="52">
        <v>7406380.7999999998</v>
      </c>
      <c r="C125" s="52">
        <v>6498273.5999999996</v>
      </c>
      <c r="D125" s="52">
        <v>3409789.5</v>
      </c>
      <c r="E125" s="52">
        <v>2546859.5099999998</v>
      </c>
      <c r="F125" s="52">
        <v>542592</v>
      </c>
      <c r="G125" s="52">
        <v>663168</v>
      </c>
      <c r="H125" s="52">
        <v>765592</v>
      </c>
      <c r="I125" s="52">
        <v>349113.60000000009</v>
      </c>
      <c r="J125" s="52">
        <v>708806.39999999991</v>
      </c>
      <c r="K125" s="52">
        <v>607113.60000000009</v>
      </c>
      <c r="L125" s="52">
        <v>88818.239999999962</v>
      </c>
      <c r="M125" s="52">
        <v>466295.76</v>
      </c>
      <c r="N125" s="52">
        <v>262423.24</v>
      </c>
      <c r="O125" s="52">
        <v>82925.799999999988</v>
      </c>
      <c r="P125" s="52">
        <v>331703.2</v>
      </c>
      <c r="Q125" s="52">
        <v>131900.79999999999</v>
      </c>
      <c r="R125" s="52">
        <v>90.28</v>
      </c>
      <c r="S125" s="52">
        <v>154.66</v>
      </c>
      <c r="T125" s="52">
        <v>91.02</v>
      </c>
      <c r="U125" s="52">
        <v>20.25</v>
      </c>
      <c r="V125" s="52">
        <v>32.940000000000005</v>
      </c>
      <c r="W125" s="52">
        <v>26.4</v>
      </c>
      <c r="X125" s="52">
        <v>43.8</v>
      </c>
      <c r="Y125" s="52">
        <v>4.72</v>
      </c>
      <c r="Z125" s="52">
        <v>25.41</v>
      </c>
      <c r="AA125" s="52">
        <v>2.36</v>
      </c>
      <c r="AB125" s="52">
        <v>11.55</v>
      </c>
      <c r="AC125" s="52">
        <v>0.86</v>
      </c>
      <c r="AD125" s="52">
        <v>0.36</v>
      </c>
      <c r="AE125" s="52">
        <v>0.28999999999999998</v>
      </c>
      <c r="AF125" s="52">
        <v>0.73</v>
      </c>
      <c r="AG125" s="52">
        <v>0.38</v>
      </c>
      <c r="AH125" s="52">
        <v>0.34</v>
      </c>
      <c r="AI125" s="52">
        <v>0.25</v>
      </c>
      <c r="AJ125" s="52">
        <v>0.28000000000000003</v>
      </c>
    </row>
    <row r="126" spans="1:36" ht="25" customHeight="1" x14ac:dyDescent="0.2">
      <c r="A126" s="51">
        <v>123</v>
      </c>
      <c r="B126" s="52">
        <v>5823820.7999999998</v>
      </c>
      <c r="C126" s="52">
        <v>5109753.6000000006</v>
      </c>
      <c r="D126" s="52">
        <v>2681202</v>
      </c>
      <c r="E126" s="52">
        <v>2002658.76</v>
      </c>
      <c r="F126" s="52">
        <v>361728.00000000006</v>
      </c>
      <c r="G126" s="52">
        <v>844032</v>
      </c>
      <c r="H126" s="52">
        <v>584728</v>
      </c>
      <c r="I126" s="52">
        <v>476063.99999999994</v>
      </c>
      <c r="J126" s="52">
        <v>581856</v>
      </c>
      <c r="K126" s="52">
        <v>734064</v>
      </c>
      <c r="L126" s="52">
        <v>38857.980000000032</v>
      </c>
      <c r="M126" s="52">
        <v>516256.01999999996</v>
      </c>
      <c r="N126" s="52">
        <v>212462.98000000004</v>
      </c>
      <c r="O126" s="52">
        <v>87072.089999999982</v>
      </c>
      <c r="P126" s="52">
        <v>327556.91000000003</v>
      </c>
      <c r="Q126" s="52">
        <v>136047.08999999997</v>
      </c>
      <c r="R126" s="52">
        <v>120.78</v>
      </c>
      <c r="S126" s="52">
        <v>206.91</v>
      </c>
      <c r="T126" s="52">
        <v>121.77</v>
      </c>
      <c r="U126" s="52">
        <v>23.25</v>
      </c>
      <c r="V126" s="52">
        <v>37.82</v>
      </c>
      <c r="W126" s="52">
        <v>37.5</v>
      </c>
      <c r="X126" s="52">
        <v>71.399999999999991</v>
      </c>
      <c r="Y126" s="52">
        <v>4.4800000000000004</v>
      </c>
      <c r="Z126" s="52">
        <v>28.05</v>
      </c>
      <c r="AA126" s="52">
        <v>2.2400000000000002</v>
      </c>
      <c r="AB126" s="52">
        <v>12.75</v>
      </c>
      <c r="AC126" s="52">
        <v>0.66</v>
      </c>
      <c r="AD126" s="52">
        <v>0.21</v>
      </c>
      <c r="AE126" s="52">
        <v>0.23</v>
      </c>
      <c r="AF126" s="52">
        <v>0.73</v>
      </c>
      <c r="AG126" s="52">
        <v>0.31</v>
      </c>
      <c r="AH126" s="52">
        <v>0.38</v>
      </c>
      <c r="AI126" s="52">
        <v>0.23</v>
      </c>
      <c r="AJ126" s="52">
        <v>0.28000000000000003</v>
      </c>
    </row>
    <row r="127" spans="1:36" ht="25" customHeight="1" x14ac:dyDescent="0.2">
      <c r="A127" s="51">
        <v>124</v>
      </c>
      <c r="B127" s="52">
        <v>7596288</v>
      </c>
      <c r="C127" s="52">
        <v>6664896</v>
      </c>
      <c r="D127" s="52">
        <v>3497220</v>
      </c>
      <c r="E127" s="52">
        <v>2612163.6</v>
      </c>
      <c r="F127" s="52">
        <v>96460.80000000009</v>
      </c>
      <c r="G127" s="52">
        <v>1109299.2</v>
      </c>
      <c r="H127" s="52">
        <v>319460.8000000001</v>
      </c>
      <c r="I127" s="52">
        <v>306796.80000000005</v>
      </c>
      <c r="J127" s="52">
        <v>751123.2</v>
      </c>
      <c r="K127" s="52">
        <v>564796.80000000005</v>
      </c>
      <c r="L127" s="52">
        <v>16653.420000000016</v>
      </c>
      <c r="M127" s="52">
        <v>538460.57999999996</v>
      </c>
      <c r="N127" s="52">
        <v>190258.42</v>
      </c>
      <c r="O127" s="52">
        <v>0</v>
      </c>
      <c r="P127" s="52">
        <v>414629</v>
      </c>
      <c r="Q127" s="52">
        <v>48975</v>
      </c>
      <c r="R127" s="52">
        <v>69.539999999999992</v>
      </c>
      <c r="S127" s="52">
        <v>119.13</v>
      </c>
      <c r="T127" s="52">
        <v>70.11</v>
      </c>
      <c r="U127" s="52">
        <v>34.5</v>
      </c>
      <c r="V127" s="52">
        <v>56.120000000000005</v>
      </c>
      <c r="W127" s="52">
        <v>33.300000000000004</v>
      </c>
      <c r="X127" s="52">
        <v>57.599999999999994</v>
      </c>
      <c r="Y127" s="52">
        <v>4.4400000000000004</v>
      </c>
      <c r="Z127" s="52">
        <v>24.75</v>
      </c>
      <c r="AA127" s="52">
        <v>2.2200000000000002</v>
      </c>
      <c r="AB127" s="52">
        <v>11.25</v>
      </c>
      <c r="AC127" s="52">
        <v>0.85</v>
      </c>
      <c r="AD127" s="52">
        <v>0.36</v>
      </c>
      <c r="AE127" s="52">
        <v>0.3</v>
      </c>
      <c r="AF127" s="52">
        <v>0.84</v>
      </c>
      <c r="AG127" s="52">
        <v>0.15</v>
      </c>
      <c r="AH127" s="52">
        <v>0.14000000000000001</v>
      </c>
      <c r="AI127" s="52">
        <v>0.28999999999999998</v>
      </c>
      <c r="AJ127" s="52">
        <v>0.2</v>
      </c>
    </row>
    <row r="128" spans="1:36" ht="25" customHeight="1" x14ac:dyDescent="0.2">
      <c r="A128" s="51">
        <v>125</v>
      </c>
      <c r="B128" s="52">
        <v>6013728</v>
      </c>
      <c r="C128" s="52">
        <v>5276376</v>
      </c>
      <c r="D128" s="52">
        <v>2768632.5</v>
      </c>
      <c r="E128" s="52">
        <v>2067962.8499999999</v>
      </c>
      <c r="F128" s="52">
        <v>204979.19999999992</v>
      </c>
      <c r="G128" s="52">
        <v>1000780.8</v>
      </c>
      <c r="H128" s="52">
        <v>427979.19999999995</v>
      </c>
      <c r="I128" s="52">
        <v>296217.60000000003</v>
      </c>
      <c r="J128" s="52">
        <v>761702.39999999991</v>
      </c>
      <c r="K128" s="52">
        <v>554217.60000000009</v>
      </c>
      <c r="L128" s="52">
        <v>44409.120000000039</v>
      </c>
      <c r="M128" s="52">
        <v>510704.87999999995</v>
      </c>
      <c r="N128" s="52">
        <v>218014.12000000005</v>
      </c>
      <c r="O128" s="52">
        <v>62194.349999999962</v>
      </c>
      <c r="P128" s="52">
        <v>352434.65</v>
      </c>
      <c r="Q128" s="52">
        <v>111169.34999999996</v>
      </c>
      <c r="R128" s="52">
        <v>65.88000000000001</v>
      </c>
      <c r="S128" s="52">
        <v>112.86000000000001</v>
      </c>
      <c r="T128" s="52">
        <v>66.42</v>
      </c>
      <c r="U128" s="52">
        <v>25.500000000000004</v>
      </c>
      <c r="V128" s="52">
        <v>41.480000000000004</v>
      </c>
      <c r="W128" s="52">
        <v>20.100000000000001</v>
      </c>
      <c r="X128" s="52">
        <v>65.400000000000006</v>
      </c>
      <c r="Y128" s="52">
        <v>4.12</v>
      </c>
      <c r="Z128" s="52">
        <v>26.73</v>
      </c>
      <c r="AA128" s="52">
        <v>2.06</v>
      </c>
      <c r="AB128" s="52">
        <v>12.15</v>
      </c>
      <c r="AC128" s="52">
        <v>0.7</v>
      </c>
      <c r="AD128" s="52">
        <v>0.12</v>
      </c>
      <c r="AE128" s="52">
        <v>0.11</v>
      </c>
      <c r="AF128" s="52">
        <v>0.83</v>
      </c>
      <c r="AG128" s="52">
        <v>0.17</v>
      </c>
      <c r="AH128" s="52">
        <v>0.19</v>
      </c>
      <c r="AI128" s="52">
        <v>0.21</v>
      </c>
      <c r="AJ128" s="52">
        <v>0.24</v>
      </c>
    </row>
    <row r="129" spans="1:36" ht="25" customHeight="1" x14ac:dyDescent="0.2">
      <c r="A129" s="51">
        <v>126</v>
      </c>
      <c r="B129" s="52">
        <v>6583449.6000000006</v>
      </c>
      <c r="C129" s="52">
        <v>5776243.2000000002</v>
      </c>
      <c r="D129" s="52">
        <v>3030924</v>
      </c>
      <c r="E129" s="52">
        <v>2263875.12</v>
      </c>
      <c r="F129" s="52">
        <v>397900.8000000001</v>
      </c>
      <c r="G129" s="52">
        <v>807859.19999999995</v>
      </c>
      <c r="H129" s="52">
        <v>620900.80000000005</v>
      </c>
      <c r="I129" s="52">
        <v>52896.000000000044</v>
      </c>
      <c r="J129" s="52">
        <v>1005024</v>
      </c>
      <c r="K129" s="52">
        <v>310896.00000000006</v>
      </c>
      <c r="L129" s="52">
        <v>99920.51999999996</v>
      </c>
      <c r="M129" s="52">
        <v>455193.48000000004</v>
      </c>
      <c r="N129" s="52">
        <v>273525.51999999996</v>
      </c>
      <c r="O129" s="52">
        <v>91218.37999999999</v>
      </c>
      <c r="P129" s="52">
        <v>323410.62</v>
      </c>
      <c r="Q129" s="52">
        <v>140193.38</v>
      </c>
      <c r="R129" s="52">
        <v>114.67999999999999</v>
      </c>
      <c r="S129" s="52">
        <v>196.45999999999998</v>
      </c>
      <c r="T129" s="52">
        <v>115.61999999999999</v>
      </c>
      <c r="U129" s="52">
        <v>30</v>
      </c>
      <c r="V129" s="52">
        <v>48.800000000000004</v>
      </c>
      <c r="W129" s="52">
        <v>20.7</v>
      </c>
      <c r="X129" s="52">
        <v>66.600000000000009</v>
      </c>
      <c r="Y129" s="52">
        <v>3.6</v>
      </c>
      <c r="Z129" s="52">
        <v>33.33</v>
      </c>
      <c r="AA129" s="52">
        <v>1.8</v>
      </c>
      <c r="AB129" s="52">
        <v>15.15</v>
      </c>
      <c r="AC129" s="52">
        <v>0.86</v>
      </c>
      <c r="AD129" s="52">
        <v>0.25</v>
      </c>
      <c r="AE129" s="52">
        <v>0.31</v>
      </c>
      <c r="AF129" s="52">
        <v>0.82</v>
      </c>
      <c r="AG129" s="52">
        <v>0.36</v>
      </c>
      <c r="AH129" s="52">
        <v>0.37</v>
      </c>
      <c r="AI129" s="52">
        <v>0.12</v>
      </c>
      <c r="AJ129" s="52">
        <v>0.15</v>
      </c>
    </row>
    <row r="130" spans="1:36" ht="25" customHeight="1" x14ac:dyDescent="0.2">
      <c r="A130" s="51">
        <v>127</v>
      </c>
      <c r="B130" s="52">
        <v>6140332.7999999998</v>
      </c>
      <c r="C130" s="52">
        <v>5387457.5999999996</v>
      </c>
      <c r="D130" s="52">
        <v>2826919.5</v>
      </c>
      <c r="E130" s="52">
        <v>2111498.91</v>
      </c>
      <c r="F130" s="52">
        <v>542592</v>
      </c>
      <c r="G130" s="52">
        <v>663168</v>
      </c>
      <c r="H130" s="52">
        <v>765592</v>
      </c>
      <c r="I130" s="52">
        <v>211583.99999999994</v>
      </c>
      <c r="J130" s="52">
        <v>846336</v>
      </c>
      <c r="K130" s="52">
        <v>469583.99999999994</v>
      </c>
      <c r="L130" s="52">
        <v>133227.35999999999</v>
      </c>
      <c r="M130" s="52">
        <v>421886.64</v>
      </c>
      <c r="N130" s="52">
        <v>306832.36</v>
      </c>
      <c r="O130" s="52">
        <v>62194.349999999962</v>
      </c>
      <c r="P130" s="52">
        <v>352434.65</v>
      </c>
      <c r="Q130" s="52">
        <v>111169.34999999996</v>
      </c>
      <c r="R130" s="52">
        <v>98.820000000000007</v>
      </c>
      <c r="S130" s="52">
        <v>169.29000000000002</v>
      </c>
      <c r="T130" s="52">
        <v>99.63000000000001</v>
      </c>
      <c r="U130" s="52">
        <v>43.5</v>
      </c>
      <c r="V130" s="52">
        <v>70.759999999999991</v>
      </c>
      <c r="W130" s="52">
        <v>33.300000000000004</v>
      </c>
      <c r="X130" s="52">
        <v>44.4</v>
      </c>
      <c r="Y130" s="52">
        <v>3.04</v>
      </c>
      <c r="Z130" s="52">
        <v>30.03</v>
      </c>
      <c r="AA130" s="52">
        <v>1.52</v>
      </c>
      <c r="AB130" s="52">
        <v>13.65</v>
      </c>
      <c r="AC130" s="52">
        <v>0.7</v>
      </c>
      <c r="AD130" s="52">
        <v>0.21</v>
      </c>
      <c r="AE130" s="52">
        <v>0.25</v>
      </c>
      <c r="AF130" s="52">
        <v>0.86</v>
      </c>
      <c r="AG130" s="52">
        <v>0.27</v>
      </c>
      <c r="AH130" s="52">
        <v>0.34</v>
      </c>
      <c r="AI130" s="52">
        <v>0.17</v>
      </c>
      <c r="AJ130" s="52">
        <v>0.1</v>
      </c>
    </row>
    <row r="131" spans="1:36" ht="25" customHeight="1" x14ac:dyDescent="0.2">
      <c r="A131" s="51">
        <v>128</v>
      </c>
      <c r="B131" s="52">
        <v>6836659.2000000002</v>
      </c>
      <c r="C131" s="52">
        <v>5998406.4000000004</v>
      </c>
      <c r="D131" s="52">
        <v>3147498</v>
      </c>
      <c r="E131" s="52">
        <v>2350947.2400000002</v>
      </c>
      <c r="F131" s="52">
        <v>253209.59999999995</v>
      </c>
      <c r="G131" s="52">
        <v>952550.40000000002</v>
      </c>
      <c r="H131" s="52">
        <v>476209.6</v>
      </c>
      <c r="I131" s="52">
        <v>84633.600000000079</v>
      </c>
      <c r="J131" s="52">
        <v>973286.39999999991</v>
      </c>
      <c r="K131" s="52">
        <v>342633.60000000009</v>
      </c>
      <c r="L131" s="52">
        <v>22204.560000000019</v>
      </c>
      <c r="M131" s="52">
        <v>532909.43999999994</v>
      </c>
      <c r="N131" s="52">
        <v>195809.56000000003</v>
      </c>
      <c r="O131" s="52">
        <v>49755.480000000047</v>
      </c>
      <c r="P131" s="52">
        <v>364873.51999999996</v>
      </c>
      <c r="Q131" s="52">
        <v>98730.48000000004</v>
      </c>
      <c r="R131" s="52">
        <v>64.66</v>
      </c>
      <c r="S131" s="52">
        <v>110.77000000000001</v>
      </c>
      <c r="T131" s="52">
        <v>65.19</v>
      </c>
      <c r="U131" s="52">
        <v>27.75</v>
      </c>
      <c r="V131" s="52">
        <v>45.14</v>
      </c>
      <c r="W131" s="52">
        <v>32.1</v>
      </c>
      <c r="X131" s="52">
        <v>68.399999999999991</v>
      </c>
      <c r="Y131" s="52">
        <v>3.96</v>
      </c>
      <c r="Z131" s="52">
        <v>31.349999999999998</v>
      </c>
      <c r="AA131" s="52">
        <v>1.98</v>
      </c>
      <c r="AB131" s="52">
        <v>14.25</v>
      </c>
      <c r="AC131" s="52">
        <v>0.83</v>
      </c>
      <c r="AD131" s="52">
        <v>0.36</v>
      </c>
      <c r="AE131" s="52">
        <v>0.37</v>
      </c>
      <c r="AF131" s="52">
        <v>0.7</v>
      </c>
      <c r="AG131" s="52">
        <v>0.13</v>
      </c>
      <c r="AH131" s="52">
        <v>0.24</v>
      </c>
      <c r="AI131" s="52">
        <v>0.1</v>
      </c>
      <c r="AJ131" s="52">
        <v>0.12</v>
      </c>
    </row>
    <row r="132" spans="1:36" ht="25" customHeight="1" x14ac:dyDescent="0.2">
      <c r="A132" s="51">
        <v>129</v>
      </c>
      <c r="B132" s="52">
        <v>5064192</v>
      </c>
      <c r="C132" s="52">
        <v>4443264</v>
      </c>
      <c r="D132" s="52">
        <v>2331480</v>
      </c>
      <c r="E132" s="52">
        <v>1741442.4000000001</v>
      </c>
      <c r="F132" s="52">
        <v>265267.19999999995</v>
      </c>
      <c r="G132" s="52">
        <v>940492.80000000005</v>
      </c>
      <c r="H132" s="52">
        <v>488267.19999999995</v>
      </c>
      <c r="I132" s="52">
        <v>179846.39999999994</v>
      </c>
      <c r="J132" s="52">
        <v>878073.60000000009</v>
      </c>
      <c r="K132" s="52">
        <v>437846.39999999991</v>
      </c>
      <c r="L132" s="52">
        <v>38857.980000000032</v>
      </c>
      <c r="M132" s="52">
        <v>516256.01999999996</v>
      </c>
      <c r="N132" s="52">
        <v>212462.98000000004</v>
      </c>
      <c r="O132" s="52">
        <v>20731.450000000019</v>
      </c>
      <c r="P132" s="52">
        <v>393897.55</v>
      </c>
      <c r="Q132" s="52">
        <v>69706.450000000012</v>
      </c>
      <c r="R132" s="52">
        <v>73.2</v>
      </c>
      <c r="S132" s="52">
        <v>125.39999999999999</v>
      </c>
      <c r="T132" s="52">
        <v>73.8</v>
      </c>
      <c r="U132" s="52">
        <v>35.25</v>
      </c>
      <c r="V132" s="52">
        <v>57.339999999999996</v>
      </c>
      <c r="W132" s="52">
        <v>28.2</v>
      </c>
      <c r="X132" s="52">
        <v>45.6</v>
      </c>
      <c r="Y132" s="52">
        <v>3.72</v>
      </c>
      <c r="Z132" s="52">
        <v>32.339999999999996</v>
      </c>
      <c r="AA132" s="52">
        <v>1.86</v>
      </c>
      <c r="AB132" s="52">
        <v>14.7</v>
      </c>
      <c r="AC132" s="52">
        <v>0.73</v>
      </c>
      <c r="AD132" s="52">
        <v>0.12</v>
      </c>
      <c r="AE132" s="52">
        <v>0.18</v>
      </c>
      <c r="AF132" s="52">
        <v>0.64</v>
      </c>
      <c r="AG132" s="52">
        <v>0.25</v>
      </c>
      <c r="AH132" s="52">
        <v>0.17</v>
      </c>
      <c r="AI132" s="52">
        <v>0.15</v>
      </c>
      <c r="AJ132" s="52">
        <v>0.18</v>
      </c>
    </row>
  </sheetData>
  <mergeCells count="9">
    <mergeCell ref="W1:AB1"/>
    <mergeCell ref="AC1:AJ1"/>
    <mergeCell ref="A1:A2"/>
    <mergeCell ref="B1:E2"/>
    <mergeCell ref="F2:H2"/>
    <mergeCell ref="I2:K2"/>
    <mergeCell ref="L2:N2"/>
    <mergeCell ref="O2:Q2"/>
    <mergeCell ref="F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32"/>
  <sheetViews>
    <sheetView zoomScale="112" zoomScaleNormal="120" workbookViewId="0">
      <selection activeCell="B3" sqref="B3"/>
    </sheetView>
  </sheetViews>
  <sheetFormatPr baseColWidth="10" defaultColWidth="8.83203125" defaultRowHeight="16" x14ac:dyDescent="0.2"/>
  <cols>
    <col min="1" max="1" width="4.1640625" bestFit="1" customWidth="1"/>
    <col min="2" max="2" width="11" bestFit="1" customWidth="1"/>
    <col min="3" max="3" width="17.33203125" bestFit="1" customWidth="1"/>
    <col min="4" max="4" width="17.83203125" bestFit="1" customWidth="1"/>
    <col min="5" max="5" width="10.1640625" bestFit="1" customWidth="1"/>
    <col min="6" max="6" width="13.1640625" bestFit="1" customWidth="1"/>
    <col min="7" max="7" width="13.6640625" bestFit="1" customWidth="1"/>
    <col min="8" max="8" width="14.5" bestFit="1" customWidth="1"/>
    <col min="9" max="9" width="18.6640625" bestFit="1" customWidth="1"/>
    <col min="10" max="10" width="15" bestFit="1" customWidth="1"/>
    <col min="11" max="11" width="19.1640625" bestFit="1" customWidth="1"/>
    <col min="12" max="12" width="9.6640625" bestFit="1" customWidth="1"/>
    <col min="13" max="13" width="10.5" bestFit="1" customWidth="1"/>
    <col min="14" max="14" width="8.83203125" bestFit="1" customWidth="1"/>
    <col min="15" max="15" width="9.6640625" bestFit="1" customWidth="1"/>
    <col min="16" max="16" width="10.1640625" bestFit="1" customWidth="1"/>
    <col min="17" max="17" width="9.33203125" bestFit="1" customWidth="1"/>
    <col min="18" max="18" width="9.83203125" bestFit="1" customWidth="1"/>
    <col min="19" max="19" width="12.1640625" bestFit="1" customWidth="1"/>
    <col min="20" max="20" width="9.6640625" bestFit="1" customWidth="1"/>
    <col min="21" max="21" width="12" bestFit="1" customWidth="1"/>
  </cols>
  <sheetData>
    <row r="1" spans="1:21" ht="17" thickBot="1" x14ac:dyDescent="0.25">
      <c r="B1" s="122" t="s">
        <v>149</v>
      </c>
      <c r="C1" s="123"/>
      <c r="D1" s="123"/>
      <c r="E1" s="123"/>
      <c r="F1" s="123"/>
      <c r="G1" s="124"/>
      <c r="H1" s="122" t="s">
        <v>152</v>
      </c>
      <c r="I1" s="123"/>
      <c r="J1" s="123"/>
      <c r="K1" s="124"/>
      <c r="L1" s="122" t="s">
        <v>155</v>
      </c>
      <c r="M1" s="123"/>
      <c r="N1" s="123"/>
      <c r="O1" s="123"/>
      <c r="P1" s="123"/>
      <c r="Q1" s="124"/>
      <c r="R1" s="122" t="s">
        <v>158</v>
      </c>
      <c r="S1" s="123"/>
      <c r="T1" s="123"/>
      <c r="U1" s="124"/>
    </row>
    <row r="2" spans="1:21" ht="17" thickBot="1" x14ac:dyDescent="0.25">
      <c r="B2" s="122" t="s">
        <v>150</v>
      </c>
      <c r="C2" s="123"/>
      <c r="D2" s="124"/>
      <c r="E2" s="122" t="s">
        <v>151</v>
      </c>
      <c r="F2" s="123"/>
      <c r="G2" s="124"/>
      <c r="H2" s="122" t="s">
        <v>153</v>
      </c>
      <c r="I2" s="124"/>
      <c r="J2" s="122" t="s">
        <v>154</v>
      </c>
      <c r="K2" s="124"/>
      <c r="L2" s="122" t="s">
        <v>156</v>
      </c>
      <c r="M2" s="123"/>
      <c r="N2" s="123"/>
      <c r="O2" s="124"/>
      <c r="P2" s="122" t="s">
        <v>157</v>
      </c>
      <c r="Q2" s="124"/>
      <c r="R2" s="122" t="s">
        <v>153</v>
      </c>
      <c r="S2" s="124"/>
      <c r="T2" s="122" t="s">
        <v>159</v>
      </c>
      <c r="U2" s="124"/>
    </row>
    <row r="3" spans="1:21" x14ac:dyDescent="0.2">
      <c r="A3" s="55"/>
      <c r="B3" s="63" t="s">
        <v>47</v>
      </c>
      <c r="C3" s="64" t="s">
        <v>57</v>
      </c>
      <c r="D3" s="64" t="s">
        <v>59</v>
      </c>
      <c r="E3" s="65" t="s">
        <v>48</v>
      </c>
      <c r="F3" s="64" t="s">
        <v>50</v>
      </c>
      <c r="G3" s="66" t="s">
        <v>52</v>
      </c>
      <c r="H3" s="67" t="s">
        <v>49</v>
      </c>
      <c r="I3" s="64" t="s">
        <v>58</v>
      </c>
      <c r="J3" s="64" t="s">
        <v>51</v>
      </c>
      <c r="K3" s="66" t="s">
        <v>60</v>
      </c>
      <c r="L3" s="63" t="s">
        <v>53</v>
      </c>
      <c r="M3" s="64" t="s">
        <v>62</v>
      </c>
      <c r="N3" s="65" t="s">
        <v>54</v>
      </c>
      <c r="O3" s="64" t="s">
        <v>61</v>
      </c>
      <c r="P3" s="65" t="s">
        <v>55</v>
      </c>
      <c r="Q3" s="69" t="s">
        <v>56</v>
      </c>
      <c r="R3" s="67" t="s">
        <v>63</v>
      </c>
      <c r="S3" s="64" t="s">
        <v>64</v>
      </c>
      <c r="T3" s="64" t="s">
        <v>65</v>
      </c>
      <c r="U3" s="66" t="s">
        <v>66</v>
      </c>
    </row>
    <row r="4" spans="1:21" x14ac:dyDescent="0.2">
      <c r="A4" s="56">
        <v>1</v>
      </c>
      <c r="B4" s="57">
        <v>22.5</v>
      </c>
      <c r="C4" s="6">
        <v>0.92</v>
      </c>
      <c r="D4" s="6">
        <v>0.01</v>
      </c>
      <c r="E4" s="12">
        <v>22.3</v>
      </c>
      <c r="F4" s="6">
        <v>0.4</v>
      </c>
      <c r="G4" s="58">
        <v>0.03</v>
      </c>
      <c r="H4" s="59">
        <v>33.9</v>
      </c>
      <c r="I4" s="6">
        <v>0.98</v>
      </c>
      <c r="J4" s="6">
        <v>2.59</v>
      </c>
      <c r="K4" s="58">
        <v>1.82</v>
      </c>
      <c r="L4" s="57">
        <v>26.03</v>
      </c>
      <c r="M4" s="6">
        <v>1.96</v>
      </c>
      <c r="N4" s="12">
        <v>47.9</v>
      </c>
      <c r="O4" s="6">
        <v>29</v>
      </c>
      <c r="P4" s="12">
        <v>35.5</v>
      </c>
      <c r="Q4" s="68">
        <v>30.7</v>
      </c>
      <c r="R4" s="70">
        <v>0.97</v>
      </c>
      <c r="S4" s="14">
        <v>0.24</v>
      </c>
      <c r="T4" s="14">
        <v>0.56999999999999995</v>
      </c>
      <c r="U4" s="71">
        <v>0.13</v>
      </c>
    </row>
    <row r="5" spans="1:21" x14ac:dyDescent="0.2">
      <c r="A5" s="56">
        <v>2</v>
      </c>
      <c r="B5" s="57">
        <v>22.9</v>
      </c>
      <c r="C5" s="6">
        <v>0.77</v>
      </c>
      <c r="D5" s="6">
        <v>7.0000000000000007E-2</v>
      </c>
      <c r="E5" s="12">
        <v>26</v>
      </c>
      <c r="F5" s="6">
        <v>0.44</v>
      </c>
      <c r="G5" s="58">
        <v>0.1</v>
      </c>
      <c r="H5" s="59">
        <v>1.76</v>
      </c>
      <c r="I5" s="6">
        <v>2.57</v>
      </c>
      <c r="J5" s="6">
        <v>1.6</v>
      </c>
      <c r="K5" s="58">
        <v>3.08</v>
      </c>
      <c r="L5" s="57">
        <v>25.8</v>
      </c>
      <c r="M5" s="6">
        <v>2.56</v>
      </c>
      <c r="N5" s="12">
        <v>27.5</v>
      </c>
      <c r="O5" s="6">
        <v>3.08</v>
      </c>
      <c r="P5" s="12">
        <v>35.799999999999997</v>
      </c>
      <c r="Q5" s="68">
        <v>30.8</v>
      </c>
      <c r="R5" s="70">
        <v>0.73</v>
      </c>
      <c r="S5" s="14">
        <v>0.27</v>
      </c>
      <c r="T5" s="14">
        <v>0.44</v>
      </c>
      <c r="U5" s="71">
        <v>0.16</v>
      </c>
    </row>
    <row r="6" spans="1:21" x14ac:dyDescent="0.2">
      <c r="A6" s="56">
        <v>3</v>
      </c>
      <c r="B6" s="57">
        <v>40.200000000000003</v>
      </c>
      <c r="C6" s="6">
        <v>0.45</v>
      </c>
      <c r="D6" s="6">
        <v>0.03</v>
      </c>
      <c r="E6" s="12">
        <v>109.2</v>
      </c>
      <c r="F6" s="6">
        <v>0.1</v>
      </c>
      <c r="G6" s="58">
        <v>7.0000000000000007E-2</v>
      </c>
      <c r="H6" s="59">
        <v>1.83</v>
      </c>
      <c r="I6" s="6">
        <v>0.84</v>
      </c>
      <c r="J6" s="6">
        <v>1.1200000000000001</v>
      </c>
      <c r="K6" s="58">
        <v>1.41</v>
      </c>
      <c r="L6" s="57">
        <v>25.5</v>
      </c>
      <c r="M6" s="6">
        <v>1.6</v>
      </c>
      <c r="N6" s="12">
        <v>27</v>
      </c>
      <c r="O6" s="6">
        <v>2.4700000000000002</v>
      </c>
      <c r="P6" s="12">
        <v>35.6</v>
      </c>
      <c r="Q6" s="68">
        <v>31.3</v>
      </c>
      <c r="R6" s="70">
        <v>0.8</v>
      </c>
      <c r="S6" s="14">
        <v>0.16</v>
      </c>
      <c r="T6" s="14">
        <v>0.39</v>
      </c>
      <c r="U6" s="71">
        <v>0.13</v>
      </c>
    </row>
    <row r="7" spans="1:21" x14ac:dyDescent="0.2">
      <c r="A7" s="56">
        <v>4</v>
      </c>
      <c r="B7" s="57">
        <v>25</v>
      </c>
      <c r="C7" s="6">
        <v>0.95</v>
      </c>
      <c r="D7" s="6">
        <v>7.0000000000000007E-2</v>
      </c>
      <c r="E7" s="12">
        <v>56.5</v>
      </c>
      <c r="F7" s="6">
        <v>0.45</v>
      </c>
      <c r="G7" s="58">
        <v>0.15</v>
      </c>
      <c r="H7" s="59">
        <v>16.7</v>
      </c>
      <c r="I7" s="6">
        <v>2.31</v>
      </c>
      <c r="J7" s="6">
        <v>2.5299999999999998</v>
      </c>
      <c r="K7" s="58">
        <v>2.64</v>
      </c>
      <c r="L7" s="57">
        <v>26.2</v>
      </c>
      <c r="M7" s="6">
        <v>3</v>
      </c>
      <c r="N7" s="12">
        <v>37.9</v>
      </c>
      <c r="O7" s="6">
        <v>16.2</v>
      </c>
      <c r="P7" s="12">
        <v>35.700000000000003</v>
      </c>
      <c r="Q7" s="68">
        <v>31.2</v>
      </c>
      <c r="R7" s="70">
        <v>0.97</v>
      </c>
      <c r="S7" s="14">
        <v>0.25</v>
      </c>
      <c r="T7" s="14">
        <v>0.61</v>
      </c>
      <c r="U7" s="71">
        <v>0.15</v>
      </c>
    </row>
    <row r="8" spans="1:21" x14ac:dyDescent="0.2">
      <c r="A8" s="56">
        <v>5</v>
      </c>
      <c r="B8" s="57">
        <v>21.4</v>
      </c>
      <c r="C8" s="6">
        <v>0.85</v>
      </c>
      <c r="D8" s="6">
        <v>2E-3</v>
      </c>
      <c r="E8" s="12">
        <v>21</v>
      </c>
      <c r="F8" s="6">
        <v>0.31</v>
      </c>
      <c r="G8" s="58">
        <v>0.02</v>
      </c>
      <c r="H8" s="59">
        <v>103.2</v>
      </c>
      <c r="I8" s="6">
        <v>0.31</v>
      </c>
      <c r="J8" s="6">
        <v>3.7</v>
      </c>
      <c r="K8" s="58">
        <v>1.34</v>
      </c>
      <c r="L8" s="57">
        <v>25.7</v>
      </c>
      <c r="M8" s="6">
        <v>1.44</v>
      </c>
      <c r="N8" s="12">
        <v>93.2</v>
      </c>
      <c r="O8" s="6">
        <v>87.9</v>
      </c>
      <c r="P8" s="12">
        <v>35.9</v>
      </c>
      <c r="Q8" s="68">
        <v>30.7</v>
      </c>
      <c r="R8" s="70">
        <v>0.98</v>
      </c>
      <c r="S8" s="14">
        <v>0.2</v>
      </c>
      <c r="T8" s="14">
        <v>0.71</v>
      </c>
      <c r="U8" s="71">
        <v>0.1</v>
      </c>
    </row>
    <row r="9" spans="1:21" x14ac:dyDescent="0.2">
      <c r="A9" s="56">
        <v>6</v>
      </c>
      <c r="B9" s="57">
        <v>21.6</v>
      </c>
      <c r="C9" s="6">
        <v>0.83</v>
      </c>
      <c r="D9" s="6">
        <v>0.03</v>
      </c>
      <c r="E9" s="12">
        <v>21.4</v>
      </c>
      <c r="F9" s="6">
        <v>0.43</v>
      </c>
      <c r="G9" s="58">
        <v>0.08</v>
      </c>
      <c r="H9" s="59">
        <v>132.1</v>
      </c>
      <c r="I9" s="6">
        <v>2.04</v>
      </c>
      <c r="J9" s="6">
        <v>4.62</v>
      </c>
      <c r="K9" s="58">
        <v>2.33</v>
      </c>
      <c r="L9" s="57">
        <v>25.6</v>
      </c>
      <c r="M9" s="6">
        <v>2.2000000000000002</v>
      </c>
      <c r="N9" s="12">
        <v>115.1</v>
      </c>
      <c r="O9" s="6">
        <v>115.2</v>
      </c>
      <c r="P9" s="12">
        <v>35.9</v>
      </c>
      <c r="Q9" s="68">
        <v>31</v>
      </c>
      <c r="R9" s="70">
        <v>0.98</v>
      </c>
      <c r="S9" s="14">
        <v>0.25</v>
      </c>
      <c r="T9" s="14">
        <v>0.84</v>
      </c>
      <c r="U9" s="71">
        <v>0.14000000000000001</v>
      </c>
    </row>
    <row r="10" spans="1:21" x14ac:dyDescent="0.2">
      <c r="A10" s="56">
        <v>7</v>
      </c>
      <c r="B10" s="57">
        <v>22.7</v>
      </c>
      <c r="C10" s="6">
        <v>0.37</v>
      </c>
      <c r="D10" s="6">
        <v>0.01</v>
      </c>
      <c r="E10" s="12">
        <v>26.9</v>
      </c>
      <c r="F10" s="6">
        <v>0.12</v>
      </c>
      <c r="G10" s="58">
        <v>0.03</v>
      </c>
      <c r="H10" s="59">
        <v>1.3</v>
      </c>
      <c r="I10" s="6">
        <v>0.56999999999999995</v>
      </c>
      <c r="J10" s="6">
        <v>0.75</v>
      </c>
      <c r="K10" s="58">
        <v>0.75</v>
      </c>
      <c r="L10" s="57">
        <v>25.2</v>
      </c>
      <c r="M10" s="6">
        <v>0.83</v>
      </c>
      <c r="N10" s="12">
        <v>26.7</v>
      </c>
      <c r="O10" s="6">
        <v>1.81</v>
      </c>
      <c r="P10" s="12">
        <v>36.4</v>
      </c>
      <c r="Q10" s="68">
        <v>31.5</v>
      </c>
      <c r="R10" s="70">
        <v>0.56999999999999995</v>
      </c>
      <c r="S10" s="14">
        <v>0.13</v>
      </c>
      <c r="T10" s="14">
        <v>0.28999999999999998</v>
      </c>
      <c r="U10" s="71">
        <v>7.0000000000000007E-2</v>
      </c>
    </row>
    <row r="11" spans="1:21" x14ac:dyDescent="0.2">
      <c r="A11" s="56">
        <v>8</v>
      </c>
      <c r="B11" s="57">
        <v>91.2</v>
      </c>
      <c r="C11" s="6">
        <v>0.73</v>
      </c>
      <c r="D11" s="6">
        <v>7.0000000000000007E-2</v>
      </c>
      <c r="E11" s="12">
        <v>146.19999999999999</v>
      </c>
      <c r="F11" s="6">
        <v>0.19</v>
      </c>
      <c r="G11" s="58">
        <v>0.17</v>
      </c>
      <c r="H11" s="59">
        <v>104.4</v>
      </c>
      <c r="I11" s="6">
        <v>2.98</v>
      </c>
      <c r="J11" s="6">
        <v>3.19</v>
      </c>
      <c r="K11" s="58">
        <v>3.4</v>
      </c>
      <c r="L11" s="57">
        <v>26.2</v>
      </c>
      <c r="M11" s="6">
        <v>3.46</v>
      </c>
      <c r="N11" s="12">
        <v>105.9</v>
      </c>
      <c r="O11" s="6">
        <v>103.1</v>
      </c>
      <c r="P11" s="12">
        <v>36.1</v>
      </c>
      <c r="Q11" s="68">
        <v>31.4</v>
      </c>
      <c r="R11" s="70">
        <v>0.98</v>
      </c>
      <c r="S11" s="14">
        <v>0.2</v>
      </c>
      <c r="T11" s="14">
        <v>0.7</v>
      </c>
      <c r="U11" s="71">
        <v>0.18</v>
      </c>
    </row>
    <row r="12" spans="1:21" x14ac:dyDescent="0.2">
      <c r="A12" s="56">
        <v>9</v>
      </c>
      <c r="B12" s="57">
        <v>21.7</v>
      </c>
      <c r="C12" s="6">
        <v>1.18</v>
      </c>
      <c r="D12" s="6">
        <v>0.01</v>
      </c>
      <c r="E12" s="12">
        <v>21.1</v>
      </c>
      <c r="F12" s="6">
        <v>0.46</v>
      </c>
      <c r="G12" s="58">
        <v>0.06</v>
      </c>
      <c r="H12" s="59">
        <v>22.3</v>
      </c>
      <c r="I12" s="6">
        <v>1.6</v>
      </c>
      <c r="J12" s="6">
        <v>3.16</v>
      </c>
      <c r="K12" s="58">
        <v>3.32</v>
      </c>
      <c r="L12" s="57">
        <v>26.2</v>
      </c>
      <c r="M12" s="6">
        <v>2.8</v>
      </c>
      <c r="N12" s="12">
        <v>42.3</v>
      </c>
      <c r="O12" s="6">
        <v>22.4</v>
      </c>
      <c r="P12" s="12">
        <v>35.700000000000003</v>
      </c>
      <c r="Q12" s="68">
        <v>30.9</v>
      </c>
      <c r="R12" s="70">
        <v>0.97</v>
      </c>
      <c r="S12" s="14">
        <v>0.25</v>
      </c>
      <c r="T12" s="14">
        <v>0.65</v>
      </c>
      <c r="U12" s="71">
        <v>0.14000000000000001</v>
      </c>
    </row>
    <row r="13" spans="1:21" x14ac:dyDescent="0.2">
      <c r="A13" s="56">
        <v>10</v>
      </c>
      <c r="B13" s="57">
        <v>2.5</v>
      </c>
      <c r="C13" s="6">
        <v>0.56999999999999995</v>
      </c>
      <c r="D13" s="6">
        <v>0.04</v>
      </c>
      <c r="E13" s="12">
        <v>23.8</v>
      </c>
      <c r="F13" s="6">
        <v>0.36</v>
      </c>
      <c r="G13" s="58">
        <v>0.08</v>
      </c>
      <c r="H13" s="59">
        <v>2.4900000000000002</v>
      </c>
      <c r="I13" s="6">
        <v>0.85</v>
      </c>
      <c r="J13" s="6">
        <v>1.7</v>
      </c>
      <c r="K13" s="58">
        <v>1.44</v>
      </c>
      <c r="L13" s="57">
        <v>25.4</v>
      </c>
      <c r="M13" s="6">
        <v>1.53</v>
      </c>
      <c r="N13" s="12">
        <v>27.7</v>
      </c>
      <c r="O13" s="6">
        <v>3.63</v>
      </c>
      <c r="P13" s="12">
        <v>36.1</v>
      </c>
      <c r="Q13" s="68">
        <v>30.7</v>
      </c>
      <c r="R13" s="70">
        <v>0.89</v>
      </c>
      <c r="S13" s="14">
        <v>0.23</v>
      </c>
      <c r="T13" s="14">
        <v>0.47</v>
      </c>
      <c r="U13" s="71">
        <v>0.13</v>
      </c>
    </row>
    <row r="14" spans="1:21" x14ac:dyDescent="0.2">
      <c r="A14" s="56">
        <v>11</v>
      </c>
      <c r="B14" s="57">
        <v>23.3</v>
      </c>
      <c r="C14" s="6">
        <v>0.26</v>
      </c>
      <c r="D14" s="6">
        <v>7.0000000000000001E-3</v>
      </c>
      <c r="E14" s="12">
        <v>31.8</v>
      </c>
      <c r="F14" s="6">
        <v>0.08</v>
      </c>
      <c r="G14" s="58">
        <v>0.01</v>
      </c>
      <c r="H14" s="59">
        <v>1.37</v>
      </c>
      <c r="I14" s="6">
        <v>1.2</v>
      </c>
      <c r="J14" s="6">
        <v>1.25</v>
      </c>
      <c r="K14" s="58">
        <v>1.47</v>
      </c>
      <c r="L14" s="57">
        <v>25.3</v>
      </c>
      <c r="M14" s="6">
        <v>1.06</v>
      </c>
      <c r="N14" s="12">
        <v>26.5</v>
      </c>
      <c r="O14" s="6">
        <v>1.91</v>
      </c>
      <c r="P14" s="12">
        <v>35.6</v>
      </c>
      <c r="Q14" s="68">
        <v>31.3</v>
      </c>
      <c r="R14" s="70">
        <v>0.68</v>
      </c>
      <c r="S14" s="14">
        <v>0.14000000000000001</v>
      </c>
      <c r="T14" s="14">
        <v>0.41</v>
      </c>
      <c r="U14" s="71">
        <v>7.0000000000000007E-2</v>
      </c>
    </row>
    <row r="15" spans="1:21" x14ac:dyDescent="0.2">
      <c r="A15" s="56">
        <v>12</v>
      </c>
      <c r="B15" s="57">
        <v>72.900000000000006</v>
      </c>
      <c r="C15" s="6">
        <v>1.08</v>
      </c>
      <c r="D15" s="6">
        <v>0.12</v>
      </c>
      <c r="E15" s="12">
        <v>128.69999999999999</v>
      </c>
      <c r="F15" s="6">
        <v>0.38</v>
      </c>
      <c r="G15" s="58">
        <v>0.26</v>
      </c>
      <c r="H15" s="59">
        <v>176.7</v>
      </c>
      <c r="I15" s="6">
        <v>0.88</v>
      </c>
      <c r="J15" s="6">
        <v>7.54</v>
      </c>
      <c r="K15" s="58">
        <v>2.4700000000000002</v>
      </c>
      <c r="L15" s="57">
        <v>26.5</v>
      </c>
      <c r="M15" s="6">
        <v>2.5</v>
      </c>
      <c r="N15" s="12">
        <v>153.5</v>
      </c>
      <c r="O15" s="6">
        <v>166.6</v>
      </c>
      <c r="P15" s="12">
        <v>35.4</v>
      </c>
      <c r="Q15" s="68">
        <v>31.3</v>
      </c>
      <c r="R15" s="70">
        <v>0.98</v>
      </c>
      <c r="S15" s="14">
        <v>0.24</v>
      </c>
      <c r="T15" s="14">
        <v>0.93</v>
      </c>
      <c r="U15" s="71">
        <v>0.21</v>
      </c>
    </row>
    <row r="16" spans="1:21" x14ac:dyDescent="0.2">
      <c r="A16" s="56">
        <v>13</v>
      </c>
      <c r="B16" s="57">
        <v>22</v>
      </c>
      <c r="C16" s="6">
        <v>1.5</v>
      </c>
      <c r="D16" s="6">
        <v>0.03</v>
      </c>
      <c r="E16" s="12">
        <v>22</v>
      </c>
      <c r="F16" s="6">
        <v>0.65</v>
      </c>
      <c r="G16" s="58">
        <v>0.1</v>
      </c>
      <c r="H16" s="59">
        <v>188</v>
      </c>
      <c r="I16" s="6">
        <v>2.2999999999999998</v>
      </c>
      <c r="J16" s="6">
        <v>4</v>
      </c>
      <c r="K16" s="58">
        <v>2</v>
      </c>
      <c r="L16" s="57">
        <v>26</v>
      </c>
      <c r="M16" s="6">
        <v>2</v>
      </c>
      <c r="N16" s="12">
        <v>179</v>
      </c>
      <c r="O16" s="6">
        <v>194</v>
      </c>
      <c r="P16" s="12">
        <v>37</v>
      </c>
      <c r="Q16" s="68">
        <v>31</v>
      </c>
      <c r="R16" s="70">
        <v>0.98</v>
      </c>
      <c r="S16" s="14">
        <v>0.27</v>
      </c>
      <c r="T16" s="14">
        <v>0.8</v>
      </c>
      <c r="U16" s="71">
        <v>0.15</v>
      </c>
    </row>
    <row r="17" spans="1:21" x14ac:dyDescent="0.2">
      <c r="A17" s="56">
        <v>14</v>
      </c>
      <c r="B17" s="59">
        <v>23</v>
      </c>
      <c r="C17" s="6">
        <v>0.68</v>
      </c>
      <c r="D17" s="6">
        <v>0.04</v>
      </c>
      <c r="E17" s="6">
        <v>27</v>
      </c>
      <c r="F17" s="6">
        <v>0.49</v>
      </c>
      <c r="G17" s="58">
        <v>0.14000000000000001</v>
      </c>
      <c r="H17" s="59">
        <v>172</v>
      </c>
      <c r="I17" s="6">
        <v>1.22</v>
      </c>
      <c r="J17" s="6">
        <v>3.32</v>
      </c>
      <c r="K17" s="58">
        <v>1.1499999999999999</v>
      </c>
      <c r="L17" s="59">
        <v>25</v>
      </c>
      <c r="M17" s="6">
        <v>1.28</v>
      </c>
      <c r="N17" s="6">
        <v>159</v>
      </c>
      <c r="O17" s="6">
        <v>167</v>
      </c>
      <c r="P17" s="6">
        <v>36</v>
      </c>
      <c r="Q17" s="58">
        <v>31</v>
      </c>
      <c r="R17" s="70">
        <v>0.98</v>
      </c>
      <c r="S17" s="14">
        <v>0.33</v>
      </c>
      <c r="T17" s="14">
        <v>0.78</v>
      </c>
      <c r="U17" s="71">
        <v>0.19</v>
      </c>
    </row>
    <row r="18" spans="1:21" x14ac:dyDescent="0.2">
      <c r="A18" s="56">
        <v>15</v>
      </c>
      <c r="B18" s="59">
        <v>31</v>
      </c>
      <c r="C18" s="6">
        <v>0.38</v>
      </c>
      <c r="D18" s="6">
        <v>0.01</v>
      </c>
      <c r="E18" s="6">
        <v>105</v>
      </c>
      <c r="F18" s="6">
        <v>7.0000000000000007E-2</v>
      </c>
      <c r="G18" s="58">
        <v>0.03</v>
      </c>
      <c r="H18" s="59">
        <v>2.44</v>
      </c>
      <c r="I18" s="6">
        <v>2.0299999999999998</v>
      </c>
      <c r="J18" s="6">
        <v>0.99</v>
      </c>
      <c r="K18" s="58">
        <v>1.72</v>
      </c>
      <c r="L18" s="59">
        <v>25</v>
      </c>
      <c r="M18" s="6">
        <v>1.19</v>
      </c>
      <c r="N18" s="6">
        <v>28</v>
      </c>
      <c r="O18" s="6">
        <v>2.9</v>
      </c>
      <c r="P18" s="6">
        <v>37</v>
      </c>
      <c r="Q18" s="58">
        <v>31</v>
      </c>
      <c r="R18" s="70">
        <v>0.86</v>
      </c>
      <c r="S18" s="14">
        <v>0.1</v>
      </c>
      <c r="T18" s="14">
        <v>0.32</v>
      </c>
      <c r="U18" s="71">
        <v>0.08</v>
      </c>
    </row>
    <row r="19" spans="1:21" x14ac:dyDescent="0.2">
      <c r="A19" s="56">
        <v>16</v>
      </c>
      <c r="B19" s="59">
        <v>24</v>
      </c>
      <c r="C19" s="6">
        <v>0.53</v>
      </c>
      <c r="D19" s="6">
        <v>0.03</v>
      </c>
      <c r="E19" s="6">
        <v>59</v>
      </c>
      <c r="F19" s="6">
        <v>0.24</v>
      </c>
      <c r="G19" s="58">
        <v>0.11</v>
      </c>
      <c r="H19" s="59">
        <v>39</v>
      </c>
      <c r="I19" s="6">
        <v>1.19</v>
      </c>
      <c r="J19" s="6">
        <v>1.3</v>
      </c>
      <c r="K19" s="58">
        <v>1.3</v>
      </c>
      <c r="L19" s="59">
        <v>26</v>
      </c>
      <c r="M19" s="6">
        <v>1.42</v>
      </c>
      <c r="N19" s="6">
        <v>52</v>
      </c>
      <c r="O19" s="6">
        <v>33</v>
      </c>
      <c r="P19" s="6">
        <v>38</v>
      </c>
      <c r="Q19" s="58">
        <v>31</v>
      </c>
      <c r="R19" s="70">
        <v>0.98</v>
      </c>
      <c r="S19" s="14">
        <v>0.23</v>
      </c>
      <c r="T19" s="14">
        <v>0.4</v>
      </c>
      <c r="U19" s="71">
        <v>0.15</v>
      </c>
    </row>
    <row r="20" spans="1:21" x14ac:dyDescent="0.2">
      <c r="A20" s="56">
        <v>17</v>
      </c>
      <c r="B20" s="59">
        <v>22</v>
      </c>
      <c r="C20" s="6">
        <v>2.38</v>
      </c>
      <c r="D20" s="6">
        <v>0.11</v>
      </c>
      <c r="E20" s="6">
        <v>22</v>
      </c>
      <c r="F20" s="6">
        <v>0.77</v>
      </c>
      <c r="G20" s="58">
        <v>0.17</v>
      </c>
      <c r="H20" s="59">
        <v>17</v>
      </c>
      <c r="I20" s="6">
        <v>0.94</v>
      </c>
      <c r="J20" s="6">
        <v>2.64</v>
      </c>
      <c r="K20" s="58">
        <v>2.41</v>
      </c>
      <c r="L20" s="59">
        <v>26</v>
      </c>
      <c r="M20" s="6">
        <v>2.5299999999999998</v>
      </c>
      <c r="N20" s="6">
        <v>37</v>
      </c>
      <c r="O20" s="6">
        <v>16</v>
      </c>
      <c r="P20" s="6">
        <v>36</v>
      </c>
      <c r="Q20" s="58">
        <v>31</v>
      </c>
      <c r="R20" s="70">
        <v>0.97</v>
      </c>
      <c r="S20" s="14">
        <v>0.31</v>
      </c>
      <c r="T20" s="14">
        <v>0.64</v>
      </c>
      <c r="U20" s="71">
        <v>0.16</v>
      </c>
    </row>
    <row r="21" spans="1:21" x14ac:dyDescent="0.2">
      <c r="A21" s="56">
        <v>18</v>
      </c>
      <c r="B21" s="59">
        <v>22</v>
      </c>
      <c r="C21" s="6">
        <v>0.92</v>
      </c>
      <c r="D21" s="6">
        <v>7.0000000000000007E-2</v>
      </c>
      <c r="E21" s="6">
        <v>23</v>
      </c>
      <c r="F21" s="6">
        <v>0.48</v>
      </c>
      <c r="G21" s="58">
        <v>0.13</v>
      </c>
      <c r="H21" s="59">
        <v>6</v>
      </c>
      <c r="I21" s="6">
        <v>1.38</v>
      </c>
      <c r="J21" s="6">
        <v>1.98</v>
      </c>
      <c r="K21" s="58">
        <v>2</v>
      </c>
      <c r="L21" s="59">
        <v>26</v>
      </c>
      <c r="M21" s="6">
        <v>1.92</v>
      </c>
      <c r="N21" s="6">
        <v>30</v>
      </c>
      <c r="O21" s="6">
        <v>6</v>
      </c>
      <c r="P21" s="6">
        <v>36</v>
      </c>
      <c r="Q21" s="58">
        <v>31</v>
      </c>
      <c r="R21" s="70">
        <v>0.97</v>
      </c>
      <c r="S21" s="14">
        <v>0.25</v>
      </c>
      <c r="T21" s="14">
        <v>0.49</v>
      </c>
      <c r="U21" s="71">
        <v>0.14000000000000001</v>
      </c>
    </row>
    <row r="22" spans="1:21" x14ac:dyDescent="0.2">
      <c r="A22" s="56">
        <v>19</v>
      </c>
      <c r="B22" s="59">
        <v>22</v>
      </c>
      <c r="C22" s="6">
        <v>1.08</v>
      </c>
      <c r="D22" s="6">
        <v>0.04</v>
      </c>
      <c r="E22" s="6">
        <v>23</v>
      </c>
      <c r="F22" s="6">
        <v>0.4</v>
      </c>
      <c r="G22" s="58">
        <v>0.08</v>
      </c>
      <c r="H22" s="59">
        <v>1.85</v>
      </c>
      <c r="I22" s="6">
        <v>0.5</v>
      </c>
      <c r="J22" s="6">
        <v>1.2</v>
      </c>
      <c r="K22" s="58">
        <v>1.06</v>
      </c>
      <c r="L22" s="59">
        <v>25</v>
      </c>
      <c r="M22" s="6">
        <v>1.19</v>
      </c>
      <c r="N22" s="6">
        <v>27</v>
      </c>
      <c r="O22" s="6">
        <v>2.33</v>
      </c>
      <c r="P22" s="6">
        <v>35</v>
      </c>
      <c r="Q22" s="58">
        <v>31</v>
      </c>
      <c r="R22" s="70">
        <v>0.79</v>
      </c>
      <c r="S22" s="14">
        <v>0.26</v>
      </c>
      <c r="T22" s="14">
        <v>0.4</v>
      </c>
      <c r="U22" s="71">
        <v>0.15</v>
      </c>
    </row>
    <row r="23" spans="1:21" x14ac:dyDescent="0.2">
      <c r="A23" s="56">
        <v>20</v>
      </c>
      <c r="B23" s="59">
        <v>116</v>
      </c>
      <c r="C23" s="6">
        <v>0.49</v>
      </c>
      <c r="D23" s="6">
        <v>0.12</v>
      </c>
      <c r="E23" s="6">
        <v>161</v>
      </c>
      <c r="F23" s="6">
        <v>0.2</v>
      </c>
      <c r="G23" s="58">
        <v>0.26</v>
      </c>
      <c r="H23" s="59">
        <v>138</v>
      </c>
      <c r="I23" s="6">
        <v>2.4500000000000002</v>
      </c>
      <c r="J23" s="6">
        <v>5</v>
      </c>
      <c r="K23" s="58">
        <v>3.45</v>
      </c>
      <c r="L23" s="59">
        <v>26</v>
      </c>
      <c r="M23" s="6">
        <v>3</v>
      </c>
      <c r="N23" s="6">
        <v>128</v>
      </c>
      <c r="O23" s="6">
        <v>131</v>
      </c>
      <c r="P23" s="6">
        <v>36</v>
      </c>
      <c r="Q23" s="58">
        <v>32</v>
      </c>
      <c r="R23" s="70">
        <v>0.98</v>
      </c>
      <c r="S23" s="14">
        <v>0.19</v>
      </c>
      <c r="T23" s="14">
        <v>0.81</v>
      </c>
      <c r="U23" s="71">
        <v>0.21</v>
      </c>
    </row>
    <row r="24" spans="1:21" x14ac:dyDescent="0.2">
      <c r="A24" s="56">
        <v>21</v>
      </c>
      <c r="B24" s="59">
        <v>23</v>
      </c>
      <c r="C24" s="6">
        <v>1.9</v>
      </c>
      <c r="D24" s="6">
        <v>0.1</v>
      </c>
      <c r="E24" s="6">
        <v>22</v>
      </c>
      <c r="F24" s="6">
        <v>0.71</v>
      </c>
      <c r="G24" s="58">
        <v>0.18</v>
      </c>
      <c r="H24" s="59">
        <v>196</v>
      </c>
      <c r="I24" s="6">
        <v>0.43</v>
      </c>
      <c r="J24" s="6">
        <v>5</v>
      </c>
      <c r="K24" s="58">
        <v>0.91</v>
      </c>
      <c r="L24" s="59">
        <v>26</v>
      </c>
      <c r="M24" s="6">
        <v>1.1299999999999999</v>
      </c>
      <c r="N24" s="6">
        <v>171</v>
      </c>
      <c r="O24" s="6">
        <v>183</v>
      </c>
      <c r="P24" s="6">
        <v>36</v>
      </c>
      <c r="Q24" s="58">
        <v>31</v>
      </c>
      <c r="R24" s="70">
        <v>0.98</v>
      </c>
      <c r="S24" s="14">
        <v>0.27</v>
      </c>
      <c r="T24" s="14">
        <v>0.84</v>
      </c>
      <c r="U24" s="71">
        <v>0.15</v>
      </c>
    </row>
    <row r="25" spans="1:21" x14ac:dyDescent="0.2">
      <c r="A25" s="56">
        <v>22</v>
      </c>
      <c r="B25" s="59">
        <v>22</v>
      </c>
      <c r="C25" s="6">
        <v>1.1499999999999999</v>
      </c>
      <c r="D25" s="6">
        <v>7.0000000000000007E-2</v>
      </c>
      <c r="E25" s="6">
        <v>23</v>
      </c>
      <c r="F25" s="6">
        <v>0.36</v>
      </c>
      <c r="G25" s="58">
        <v>0.11</v>
      </c>
      <c r="H25" s="59">
        <v>105</v>
      </c>
      <c r="I25" s="6">
        <v>2.33</v>
      </c>
      <c r="J25" s="6">
        <v>2.7</v>
      </c>
      <c r="K25" s="58">
        <v>2.15</v>
      </c>
      <c r="L25" s="59">
        <v>25</v>
      </c>
      <c r="M25" s="6">
        <v>1.62</v>
      </c>
      <c r="N25" s="6">
        <v>99</v>
      </c>
      <c r="O25" s="6">
        <v>95</v>
      </c>
      <c r="P25" s="6">
        <v>36</v>
      </c>
      <c r="Q25" s="58">
        <v>31</v>
      </c>
      <c r="R25" s="70">
        <v>0.98</v>
      </c>
      <c r="S25" s="14">
        <v>0.22</v>
      </c>
      <c r="T25" s="14">
        <v>0.68</v>
      </c>
      <c r="U25" s="71">
        <v>0.12</v>
      </c>
    </row>
    <row r="26" spans="1:21" x14ac:dyDescent="0.2">
      <c r="A26" s="56">
        <v>23</v>
      </c>
      <c r="B26" s="59">
        <v>24</v>
      </c>
      <c r="C26" s="6">
        <v>0.84</v>
      </c>
      <c r="D26" s="6">
        <v>7.0000000000000007E-2</v>
      </c>
      <c r="E26" s="6">
        <v>34</v>
      </c>
      <c r="F26" s="6">
        <v>0.46</v>
      </c>
      <c r="G26" s="58">
        <v>0.12</v>
      </c>
      <c r="H26" s="59">
        <v>1.36</v>
      </c>
      <c r="I26" s="6">
        <v>0.35</v>
      </c>
      <c r="J26" s="6">
        <v>0.9</v>
      </c>
      <c r="K26" s="58">
        <v>0.7</v>
      </c>
      <c r="L26" s="59">
        <v>25</v>
      </c>
      <c r="M26" s="6">
        <v>0.99</v>
      </c>
      <c r="N26" s="6">
        <v>27</v>
      </c>
      <c r="O26" s="6">
        <v>2.2400000000000002</v>
      </c>
      <c r="P26" s="6">
        <v>36</v>
      </c>
      <c r="Q26" s="58">
        <v>31</v>
      </c>
      <c r="R26" s="70">
        <v>0.59</v>
      </c>
      <c r="S26" s="14">
        <v>0.25</v>
      </c>
      <c r="T26" s="14">
        <v>0.31</v>
      </c>
      <c r="U26" s="71">
        <v>0.14000000000000001</v>
      </c>
    </row>
    <row r="27" spans="1:21" x14ac:dyDescent="0.2">
      <c r="A27" s="56">
        <v>24</v>
      </c>
      <c r="B27" s="59">
        <v>24</v>
      </c>
      <c r="C27" s="6">
        <v>1.76</v>
      </c>
      <c r="D27" s="6">
        <v>0.23</v>
      </c>
      <c r="E27" s="6">
        <v>36</v>
      </c>
      <c r="F27" s="6">
        <v>1.38</v>
      </c>
      <c r="G27" s="58">
        <v>0.64</v>
      </c>
      <c r="H27" s="59">
        <v>119</v>
      </c>
      <c r="I27" s="6">
        <v>4.63</v>
      </c>
      <c r="J27" s="6">
        <v>2.11</v>
      </c>
      <c r="K27" s="58">
        <v>3</v>
      </c>
      <c r="L27" s="59">
        <v>26</v>
      </c>
      <c r="M27" s="6">
        <v>2.2200000000000002</v>
      </c>
      <c r="N27" s="6">
        <v>116</v>
      </c>
      <c r="O27" s="6">
        <v>114</v>
      </c>
      <c r="P27" s="6">
        <v>37</v>
      </c>
      <c r="Q27" s="58">
        <v>31</v>
      </c>
      <c r="R27" s="70">
        <v>0.98</v>
      </c>
      <c r="S27" s="14">
        <v>0.55000000000000004</v>
      </c>
      <c r="T27" s="14">
        <v>0.55000000000000004</v>
      </c>
      <c r="U27" s="71">
        <v>0.32</v>
      </c>
    </row>
    <row r="28" spans="1:21" x14ac:dyDescent="0.2">
      <c r="A28" s="56">
        <v>25</v>
      </c>
      <c r="B28" s="59">
        <v>22</v>
      </c>
      <c r="C28" s="6">
        <v>2.73</v>
      </c>
      <c r="D28" s="6">
        <v>7.0000000000000007E-2</v>
      </c>
      <c r="E28" s="6">
        <v>21</v>
      </c>
      <c r="F28" s="6">
        <v>0.84</v>
      </c>
      <c r="G28" s="58">
        <v>0.17</v>
      </c>
      <c r="H28" s="59">
        <v>71</v>
      </c>
      <c r="I28" s="6">
        <v>1.9</v>
      </c>
      <c r="J28" s="6">
        <v>4.3600000000000003</v>
      </c>
      <c r="K28" s="58">
        <v>3</v>
      </c>
      <c r="L28" s="59">
        <v>26</v>
      </c>
      <c r="M28" s="6">
        <v>3.4</v>
      </c>
      <c r="N28" s="6">
        <v>76</v>
      </c>
      <c r="O28" s="6">
        <v>66</v>
      </c>
      <c r="P28" s="6">
        <v>35</v>
      </c>
      <c r="Q28" s="58">
        <v>31</v>
      </c>
      <c r="R28" s="70">
        <v>0.98</v>
      </c>
      <c r="S28" s="14">
        <v>0.32</v>
      </c>
      <c r="T28" s="14">
        <v>0.78</v>
      </c>
      <c r="U28" s="71">
        <v>0.17</v>
      </c>
    </row>
    <row r="29" spans="1:21" x14ac:dyDescent="0.2">
      <c r="A29" s="56">
        <v>26</v>
      </c>
      <c r="B29" s="59">
        <v>22</v>
      </c>
      <c r="C29" s="6">
        <v>1.73</v>
      </c>
      <c r="D29" s="6">
        <v>0.15</v>
      </c>
      <c r="E29" s="6">
        <v>21</v>
      </c>
      <c r="F29" s="6">
        <v>0.7</v>
      </c>
      <c r="G29" s="58">
        <v>0.21</v>
      </c>
      <c r="H29" s="59">
        <v>2.2599999999999998</v>
      </c>
      <c r="I29" s="6">
        <v>0.81</v>
      </c>
      <c r="J29" s="6">
        <v>1.97</v>
      </c>
      <c r="K29" s="58">
        <v>1.45</v>
      </c>
      <c r="L29" s="59">
        <v>26</v>
      </c>
      <c r="M29" s="6">
        <v>1.57</v>
      </c>
      <c r="N29" s="6">
        <v>28</v>
      </c>
      <c r="O29" s="6">
        <v>3.55</v>
      </c>
      <c r="P29" s="6">
        <v>36</v>
      </c>
      <c r="Q29" s="58">
        <v>31</v>
      </c>
      <c r="R29" s="70">
        <v>0.85</v>
      </c>
      <c r="S29" s="14">
        <v>0.28999999999999998</v>
      </c>
      <c r="T29" s="14">
        <v>0.51</v>
      </c>
      <c r="U29" s="71">
        <v>0.15</v>
      </c>
    </row>
    <row r="30" spans="1:21" x14ac:dyDescent="0.2">
      <c r="A30" s="56">
        <v>27</v>
      </c>
      <c r="B30" s="59">
        <v>26</v>
      </c>
      <c r="C30" s="6">
        <v>0.41</v>
      </c>
      <c r="D30" s="6">
        <v>0.01</v>
      </c>
      <c r="E30" s="6">
        <v>92</v>
      </c>
      <c r="F30" s="6">
        <v>0.1</v>
      </c>
      <c r="G30" s="58">
        <v>0.05</v>
      </c>
      <c r="H30" s="59">
        <v>2.58</v>
      </c>
      <c r="I30" s="6">
        <v>1</v>
      </c>
      <c r="J30" s="6">
        <v>1.33</v>
      </c>
      <c r="K30" s="58">
        <v>1.56</v>
      </c>
      <c r="L30" s="59">
        <v>25</v>
      </c>
      <c r="M30" s="6">
        <v>1.56</v>
      </c>
      <c r="N30" s="6">
        <v>27</v>
      </c>
      <c r="O30" s="6">
        <v>2.87</v>
      </c>
      <c r="P30" s="6">
        <v>35</v>
      </c>
      <c r="Q30" s="58">
        <v>31</v>
      </c>
      <c r="R30" s="70">
        <v>0.86</v>
      </c>
      <c r="S30" s="14">
        <v>0.15</v>
      </c>
      <c r="T30" s="14">
        <v>0.43</v>
      </c>
      <c r="U30" s="71">
        <v>0.11</v>
      </c>
    </row>
    <row r="31" spans="1:21" x14ac:dyDescent="0.2">
      <c r="A31" s="56">
        <v>28</v>
      </c>
      <c r="B31" s="59">
        <v>28</v>
      </c>
      <c r="C31" s="6">
        <v>1.57</v>
      </c>
      <c r="D31" s="6">
        <v>0.21</v>
      </c>
      <c r="E31" s="6">
        <v>102</v>
      </c>
      <c r="F31" s="6">
        <v>0.7</v>
      </c>
      <c r="G31" s="58">
        <v>0.41</v>
      </c>
      <c r="H31" s="59">
        <v>140</v>
      </c>
      <c r="I31" s="6">
        <v>3</v>
      </c>
      <c r="J31" s="6">
        <v>5</v>
      </c>
      <c r="K31" s="58">
        <v>3</v>
      </c>
      <c r="L31" s="59">
        <v>26</v>
      </c>
      <c r="M31" s="6">
        <v>3</v>
      </c>
      <c r="N31" s="6">
        <v>127</v>
      </c>
      <c r="O31" s="6">
        <v>129</v>
      </c>
      <c r="P31" s="6">
        <v>36</v>
      </c>
      <c r="Q31" s="58">
        <v>31</v>
      </c>
      <c r="R31" s="70">
        <v>0.98</v>
      </c>
      <c r="S31" s="14">
        <v>0.33</v>
      </c>
      <c r="T31" s="14">
        <v>0.82</v>
      </c>
      <c r="U31" s="71">
        <v>0.24</v>
      </c>
    </row>
    <row r="32" spans="1:21" x14ac:dyDescent="0.2">
      <c r="A32" s="56">
        <v>29</v>
      </c>
      <c r="B32" s="59">
        <v>22</v>
      </c>
      <c r="C32" s="6">
        <v>1.37</v>
      </c>
      <c r="D32" s="6">
        <v>0.03</v>
      </c>
      <c r="E32" s="6">
        <v>21</v>
      </c>
      <c r="F32" s="6">
        <v>0.45</v>
      </c>
      <c r="G32" s="58">
        <v>0.06</v>
      </c>
      <c r="H32" s="59">
        <v>145</v>
      </c>
      <c r="I32" s="6">
        <v>1.56</v>
      </c>
      <c r="J32" s="6">
        <v>3</v>
      </c>
      <c r="K32" s="58">
        <v>1.9</v>
      </c>
      <c r="L32" s="59">
        <v>26</v>
      </c>
      <c r="M32" s="6">
        <v>2</v>
      </c>
      <c r="N32" s="6">
        <v>140</v>
      </c>
      <c r="O32" s="6">
        <v>144</v>
      </c>
      <c r="P32" s="6">
        <v>36</v>
      </c>
      <c r="Q32" s="58">
        <v>31</v>
      </c>
      <c r="R32" s="70">
        <v>0.98</v>
      </c>
      <c r="S32" s="14">
        <v>0.2</v>
      </c>
      <c r="T32" s="14">
        <v>0.64</v>
      </c>
      <c r="U32" s="71">
        <v>0.1</v>
      </c>
    </row>
    <row r="33" spans="1:21" x14ac:dyDescent="0.2">
      <c r="A33" s="56">
        <v>30</v>
      </c>
      <c r="B33" s="59">
        <v>22</v>
      </c>
      <c r="C33" s="6">
        <v>1.36</v>
      </c>
      <c r="D33" s="6">
        <v>0.09</v>
      </c>
      <c r="E33" s="6">
        <v>22</v>
      </c>
      <c r="F33" s="6">
        <v>0.63</v>
      </c>
      <c r="G33" s="58">
        <v>0.16</v>
      </c>
      <c r="H33" s="59">
        <v>135</v>
      </c>
      <c r="I33" s="6">
        <v>0.65</v>
      </c>
      <c r="J33" s="6">
        <v>2.25</v>
      </c>
      <c r="K33" s="58">
        <v>0.99</v>
      </c>
      <c r="L33" s="59">
        <v>26</v>
      </c>
      <c r="M33" s="6">
        <v>1.05</v>
      </c>
      <c r="N33" s="6">
        <v>131</v>
      </c>
      <c r="O33" s="6">
        <v>135</v>
      </c>
      <c r="P33" s="6">
        <v>38</v>
      </c>
      <c r="Q33" s="58">
        <v>31</v>
      </c>
      <c r="R33" s="70">
        <v>0.98</v>
      </c>
      <c r="S33" s="14">
        <v>0.3</v>
      </c>
      <c r="T33" s="14">
        <v>0.61</v>
      </c>
      <c r="U33" s="71">
        <v>0.17</v>
      </c>
    </row>
    <row r="34" spans="1:21" x14ac:dyDescent="0.2">
      <c r="A34" s="56">
        <v>31</v>
      </c>
      <c r="B34" s="59">
        <v>23</v>
      </c>
      <c r="C34" s="6">
        <v>1.29</v>
      </c>
      <c r="D34" s="6">
        <v>0.09</v>
      </c>
      <c r="E34" s="6">
        <v>24</v>
      </c>
      <c r="F34" s="6">
        <v>0.56000000000000005</v>
      </c>
      <c r="G34" s="58">
        <v>0.14000000000000001</v>
      </c>
      <c r="H34" s="59">
        <v>3</v>
      </c>
      <c r="I34" s="6">
        <v>2</v>
      </c>
      <c r="J34" s="6">
        <v>0.97</v>
      </c>
      <c r="K34" s="58">
        <v>2</v>
      </c>
      <c r="L34" s="59">
        <v>26</v>
      </c>
      <c r="M34" s="6">
        <v>1.93</v>
      </c>
      <c r="N34" s="6">
        <v>28</v>
      </c>
      <c r="O34" s="6">
        <v>3</v>
      </c>
      <c r="P34" s="6">
        <v>36</v>
      </c>
      <c r="Q34" s="58">
        <v>31</v>
      </c>
      <c r="R34" s="70">
        <v>0.87</v>
      </c>
      <c r="S34" s="14">
        <v>0.26</v>
      </c>
      <c r="T34" s="14">
        <v>0.3</v>
      </c>
      <c r="U34" s="71">
        <v>0.14000000000000001</v>
      </c>
    </row>
    <row r="35" spans="1:21" x14ac:dyDescent="0.2">
      <c r="A35" s="56">
        <v>32</v>
      </c>
      <c r="B35" s="59">
        <v>25</v>
      </c>
      <c r="C35" s="6">
        <v>0.89</v>
      </c>
      <c r="D35" s="6">
        <v>0.1</v>
      </c>
      <c r="E35" s="6">
        <v>62</v>
      </c>
      <c r="F35" s="6">
        <v>0.59</v>
      </c>
      <c r="G35" s="58">
        <v>0.24</v>
      </c>
      <c r="H35" s="59">
        <v>55</v>
      </c>
      <c r="I35" s="6">
        <v>1.31</v>
      </c>
      <c r="J35" s="6">
        <v>3</v>
      </c>
      <c r="K35" s="58">
        <v>2</v>
      </c>
      <c r="L35" s="59">
        <v>26</v>
      </c>
      <c r="M35" s="6">
        <v>1.35</v>
      </c>
      <c r="N35" s="6">
        <v>62</v>
      </c>
      <c r="O35" s="6">
        <v>47</v>
      </c>
      <c r="P35" s="6">
        <v>37</v>
      </c>
      <c r="Q35" s="58">
        <v>31</v>
      </c>
      <c r="R35" s="70">
        <v>0.97</v>
      </c>
      <c r="S35" s="14">
        <v>0.33</v>
      </c>
      <c r="T35" s="14">
        <v>0.61</v>
      </c>
      <c r="U35" s="71">
        <v>0.21</v>
      </c>
    </row>
    <row r="36" spans="1:21" x14ac:dyDescent="0.2">
      <c r="A36" s="56">
        <v>33</v>
      </c>
      <c r="B36" s="59">
        <v>23</v>
      </c>
      <c r="C36" s="6">
        <v>1.24</v>
      </c>
      <c r="D36" s="6">
        <v>7.0000000000000007E-2</v>
      </c>
      <c r="E36" s="6">
        <v>23</v>
      </c>
      <c r="F36" s="6">
        <v>0.65</v>
      </c>
      <c r="G36" s="58">
        <v>0.14000000000000001</v>
      </c>
      <c r="H36" s="59">
        <v>51</v>
      </c>
      <c r="I36" s="6">
        <v>1.23</v>
      </c>
      <c r="J36" s="6">
        <v>1.53</v>
      </c>
      <c r="K36" s="58">
        <v>2</v>
      </c>
      <c r="L36" s="59">
        <v>26</v>
      </c>
      <c r="M36" s="6">
        <v>1.85</v>
      </c>
      <c r="N36" s="6">
        <v>60</v>
      </c>
      <c r="O36" s="6">
        <v>44</v>
      </c>
      <c r="P36" s="6">
        <v>35</v>
      </c>
      <c r="Q36" s="58">
        <v>30</v>
      </c>
      <c r="R36" s="70">
        <v>0.98</v>
      </c>
      <c r="S36" s="14">
        <v>0.33</v>
      </c>
      <c r="T36" s="14">
        <v>0.44</v>
      </c>
      <c r="U36" s="71">
        <v>0.17</v>
      </c>
    </row>
    <row r="37" spans="1:21" x14ac:dyDescent="0.2">
      <c r="A37" s="56">
        <v>34</v>
      </c>
      <c r="B37" s="59">
        <v>27</v>
      </c>
      <c r="C37" s="6">
        <v>1.24</v>
      </c>
      <c r="D37" s="6">
        <v>0.15</v>
      </c>
      <c r="E37" s="6">
        <v>87</v>
      </c>
      <c r="F37" s="6">
        <v>0.43</v>
      </c>
      <c r="G37" s="58">
        <v>0.25</v>
      </c>
      <c r="H37" s="59">
        <v>66</v>
      </c>
      <c r="I37" s="6">
        <v>4</v>
      </c>
      <c r="J37" s="6">
        <v>2</v>
      </c>
      <c r="K37" s="58">
        <v>3</v>
      </c>
      <c r="L37" s="59">
        <v>26</v>
      </c>
      <c r="M37" s="6">
        <v>3</v>
      </c>
      <c r="N37" s="6">
        <v>69</v>
      </c>
      <c r="O37" s="6">
        <v>54</v>
      </c>
      <c r="P37" s="6">
        <v>35</v>
      </c>
      <c r="Q37" s="58">
        <v>31</v>
      </c>
      <c r="R37" s="70">
        <v>0.98</v>
      </c>
      <c r="S37" s="14">
        <v>0.26</v>
      </c>
      <c r="T37" s="14">
        <v>0.45</v>
      </c>
      <c r="U37" s="71">
        <v>0.19</v>
      </c>
    </row>
    <row r="38" spans="1:21" x14ac:dyDescent="0.2">
      <c r="A38" s="56">
        <v>35</v>
      </c>
      <c r="B38" s="59">
        <v>22</v>
      </c>
      <c r="C38" s="6">
        <v>0.77</v>
      </c>
      <c r="D38" s="6">
        <v>0.03</v>
      </c>
      <c r="E38" s="6">
        <v>22</v>
      </c>
      <c r="F38" s="6">
        <v>0.3</v>
      </c>
      <c r="G38" s="58">
        <v>0.08</v>
      </c>
      <c r="H38" s="59">
        <v>78</v>
      </c>
      <c r="I38" s="6">
        <v>0.54</v>
      </c>
      <c r="J38" s="6">
        <v>1.65</v>
      </c>
      <c r="K38" s="58">
        <v>1.67</v>
      </c>
      <c r="L38" s="59">
        <v>26</v>
      </c>
      <c r="M38" s="6">
        <v>1.52</v>
      </c>
      <c r="N38" s="6">
        <v>82</v>
      </c>
      <c r="O38" s="6">
        <v>72</v>
      </c>
      <c r="P38" s="6">
        <v>36</v>
      </c>
      <c r="Q38" s="58">
        <v>31</v>
      </c>
      <c r="R38" s="70">
        <v>0.98</v>
      </c>
      <c r="S38" s="14">
        <v>0.2</v>
      </c>
      <c r="T38" s="14">
        <v>0.49</v>
      </c>
      <c r="U38" s="71">
        <v>0.11</v>
      </c>
    </row>
    <row r="39" spans="1:21" x14ac:dyDescent="0.2">
      <c r="A39" s="56">
        <v>36</v>
      </c>
      <c r="B39" s="59">
        <v>23</v>
      </c>
      <c r="C39" s="6">
        <v>1.87</v>
      </c>
      <c r="D39" s="6">
        <v>0.12</v>
      </c>
      <c r="E39" s="6">
        <v>23</v>
      </c>
      <c r="F39" s="6">
        <v>0.74</v>
      </c>
      <c r="G39" s="58">
        <v>0.22</v>
      </c>
      <c r="H39" s="59">
        <v>108</v>
      </c>
      <c r="I39" s="6">
        <v>3</v>
      </c>
      <c r="J39" s="6">
        <v>3</v>
      </c>
      <c r="K39" s="58">
        <v>4</v>
      </c>
      <c r="L39" s="59">
        <v>27</v>
      </c>
      <c r="M39" s="6">
        <v>4</v>
      </c>
      <c r="N39" s="6">
        <v>106</v>
      </c>
      <c r="O39" s="6">
        <v>103</v>
      </c>
      <c r="P39" s="6">
        <v>36</v>
      </c>
      <c r="Q39" s="58">
        <v>31</v>
      </c>
      <c r="R39" s="70">
        <v>0.98</v>
      </c>
      <c r="S39" s="14">
        <v>0.3</v>
      </c>
      <c r="T39" s="14">
        <v>0.71</v>
      </c>
      <c r="U39" s="71">
        <v>0.18</v>
      </c>
    </row>
    <row r="40" spans="1:21" x14ac:dyDescent="0.2">
      <c r="A40" s="56">
        <v>37</v>
      </c>
      <c r="B40" s="59">
        <v>31</v>
      </c>
      <c r="C40" s="6">
        <v>0.68</v>
      </c>
      <c r="D40" s="6">
        <v>0.03</v>
      </c>
      <c r="E40" s="6">
        <v>100</v>
      </c>
      <c r="F40" s="6">
        <v>0.26</v>
      </c>
      <c r="G40" s="58">
        <v>0.11</v>
      </c>
      <c r="H40" s="59">
        <v>137</v>
      </c>
      <c r="I40" s="6">
        <v>1.44</v>
      </c>
      <c r="J40" s="6">
        <v>4</v>
      </c>
      <c r="K40" s="58">
        <v>2</v>
      </c>
      <c r="L40" s="59">
        <v>26</v>
      </c>
      <c r="M40" s="6">
        <v>2</v>
      </c>
      <c r="N40" s="6">
        <v>123</v>
      </c>
      <c r="O40" s="6">
        <v>121</v>
      </c>
      <c r="P40" s="6">
        <v>36</v>
      </c>
      <c r="Q40" s="58">
        <v>31</v>
      </c>
      <c r="R40" s="70">
        <v>0.98</v>
      </c>
      <c r="S40" s="14">
        <v>0.22</v>
      </c>
      <c r="T40" s="14">
        <v>0.77</v>
      </c>
      <c r="U40" s="71">
        <v>0.16</v>
      </c>
    </row>
    <row r="41" spans="1:21" x14ac:dyDescent="0.2">
      <c r="A41" s="56">
        <v>38</v>
      </c>
      <c r="B41" s="59">
        <v>44</v>
      </c>
      <c r="C41" s="6">
        <v>1.6</v>
      </c>
      <c r="D41" s="6">
        <v>0.2</v>
      </c>
      <c r="E41" s="6">
        <v>109</v>
      </c>
      <c r="F41" s="6">
        <v>0.56999999999999995</v>
      </c>
      <c r="G41" s="58">
        <v>0.51</v>
      </c>
      <c r="H41" s="59">
        <v>138</v>
      </c>
      <c r="I41" s="6">
        <v>1</v>
      </c>
      <c r="J41" s="6">
        <v>4</v>
      </c>
      <c r="K41" s="58">
        <v>2</v>
      </c>
      <c r="L41" s="59">
        <v>26</v>
      </c>
      <c r="M41" s="6">
        <v>2</v>
      </c>
      <c r="N41" s="6">
        <v>123</v>
      </c>
      <c r="O41" s="6">
        <v>125</v>
      </c>
      <c r="P41" s="6">
        <v>35</v>
      </c>
      <c r="Q41" s="58">
        <v>31</v>
      </c>
      <c r="R41" s="70">
        <v>0.98</v>
      </c>
      <c r="S41" s="14">
        <v>0.32</v>
      </c>
      <c r="T41" s="14">
        <v>0.77</v>
      </c>
      <c r="U41" s="71">
        <v>0.27</v>
      </c>
    </row>
    <row r="42" spans="1:21" x14ac:dyDescent="0.2">
      <c r="A42" s="56">
        <v>39</v>
      </c>
      <c r="B42" s="59">
        <v>21</v>
      </c>
      <c r="C42" s="6">
        <v>0.79</v>
      </c>
      <c r="D42" s="6">
        <v>0.02</v>
      </c>
      <c r="E42" s="6">
        <v>21</v>
      </c>
      <c r="F42" s="6">
        <v>0.28999999999999998</v>
      </c>
      <c r="G42" s="58">
        <v>0.04</v>
      </c>
      <c r="H42" s="59">
        <v>1.23</v>
      </c>
      <c r="I42" s="6">
        <v>0.28000000000000003</v>
      </c>
      <c r="J42" s="6">
        <v>0.77</v>
      </c>
      <c r="K42" s="58">
        <v>0.7</v>
      </c>
      <c r="L42" s="59">
        <v>25</v>
      </c>
      <c r="M42" s="6">
        <v>0.66</v>
      </c>
      <c r="N42" s="6">
        <v>27</v>
      </c>
      <c r="O42" s="6">
        <v>1.68</v>
      </c>
      <c r="P42" s="6">
        <v>36</v>
      </c>
      <c r="Q42" s="58">
        <v>31</v>
      </c>
      <c r="R42" s="70">
        <v>0.56999999999999995</v>
      </c>
      <c r="S42" s="14">
        <v>0.17</v>
      </c>
      <c r="T42" s="14">
        <v>0.28999999999999998</v>
      </c>
      <c r="U42" s="71">
        <v>0.09</v>
      </c>
    </row>
    <row r="43" spans="1:21" x14ac:dyDescent="0.2">
      <c r="A43" s="56">
        <v>40</v>
      </c>
      <c r="B43" s="59">
        <v>23</v>
      </c>
      <c r="C43" s="6">
        <v>3</v>
      </c>
      <c r="D43" s="6">
        <v>0.22</v>
      </c>
      <c r="E43" s="6">
        <v>24</v>
      </c>
      <c r="F43" s="6">
        <v>1.1399999999999999</v>
      </c>
      <c r="G43" s="58">
        <v>0.37</v>
      </c>
      <c r="H43" s="59">
        <v>102</v>
      </c>
      <c r="I43" s="6">
        <v>2</v>
      </c>
      <c r="J43" s="6">
        <v>3</v>
      </c>
      <c r="K43" s="58">
        <v>3</v>
      </c>
      <c r="L43" s="59">
        <v>26</v>
      </c>
      <c r="M43" s="6">
        <v>3</v>
      </c>
      <c r="N43" s="6">
        <v>101</v>
      </c>
      <c r="O43" s="6">
        <v>94</v>
      </c>
      <c r="P43" s="6">
        <v>37</v>
      </c>
      <c r="Q43" s="58">
        <v>31</v>
      </c>
      <c r="R43" s="70">
        <v>0.98</v>
      </c>
      <c r="S43" s="14">
        <v>0.43</v>
      </c>
      <c r="T43" s="14">
        <v>0.67</v>
      </c>
      <c r="U43" s="71">
        <v>0.23</v>
      </c>
    </row>
    <row r="44" spans="1:21" x14ac:dyDescent="0.2">
      <c r="A44" s="56">
        <v>41</v>
      </c>
      <c r="B44" s="59">
        <v>23</v>
      </c>
      <c r="C44" s="6">
        <v>1.51</v>
      </c>
      <c r="D44" s="6">
        <v>0.1</v>
      </c>
      <c r="E44" s="6">
        <v>23</v>
      </c>
      <c r="F44" s="6">
        <v>1</v>
      </c>
      <c r="G44" s="58">
        <v>0.28000000000000003</v>
      </c>
      <c r="H44" s="59">
        <v>59</v>
      </c>
      <c r="I44" s="6">
        <v>3.41</v>
      </c>
      <c r="J44" s="6">
        <v>1.51</v>
      </c>
      <c r="K44" s="58">
        <v>4</v>
      </c>
      <c r="L44" s="59">
        <v>26</v>
      </c>
      <c r="M44" s="6">
        <v>3</v>
      </c>
      <c r="N44" s="6">
        <v>71</v>
      </c>
      <c r="O44" s="6">
        <v>57</v>
      </c>
      <c r="P44" s="6">
        <v>35</v>
      </c>
      <c r="Q44" s="58">
        <v>31</v>
      </c>
      <c r="R44" s="70">
        <v>0.97</v>
      </c>
      <c r="S44" s="14">
        <v>0.41</v>
      </c>
      <c r="T44" s="14">
        <v>0.43</v>
      </c>
      <c r="U44" s="71">
        <v>0.22</v>
      </c>
    </row>
    <row r="45" spans="1:21" x14ac:dyDescent="0.2">
      <c r="A45" s="56">
        <v>42</v>
      </c>
      <c r="B45" s="59">
        <v>27</v>
      </c>
      <c r="C45" s="6">
        <v>2</v>
      </c>
      <c r="D45" s="6">
        <v>0.19</v>
      </c>
      <c r="E45" s="6">
        <v>93</v>
      </c>
      <c r="F45" s="6">
        <v>0.64</v>
      </c>
      <c r="G45" s="58">
        <v>0.37</v>
      </c>
      <c r="H45" s="59">
        <v>69</v>
      </c>
      <c r="I45" s="6">
        <v>1.38</v>
      </c>
      <c r="J45" s="6">
        <v>2</v>
      </c>
      <c r="K45" s="58">
        <v>2</v>
      </c>
      <c r="L45" s="59">
        <v>26</v>
      </c>
      <c r="M45" s="6">
        <v>2</v>
      </c>
      <c r="N45" s="6">
        <v>77</v>
      </c>
      <c r="O45" s="6">
        <v>65</v>
      </c>
      <c r="P45" s="6">
        <v>36</v>
      </c>
      <c r="Q45" s="58">
        <v>31</v>
      </c>
      <c r="R45" s="70">
        <v>0.97</v>
      </c>
      <c r="S45" s="14">
        <v>0.28999999999999998</v>
      </c>
      <c r="T45" s="14">
        <v>0.45</v>
      </c>
      <c r="U45" s="71">
        <v>0.22</v>
      </c>
    </row>
    <row r="46" spans="1:21" x14ac:dyDescent="0.2">
      <c r="A46" s="56">
        <v>43</v>
      </c>
      <c r="B46" s="59">
        <v>22</v>
      </c>
      <c r="C46" s="6">
        <v>1.53</v>
      </c>
      <c r="D46" s="6">
        <v>0.11</v>
      </c>
      <c r="E46" s="6">
        <v>21</v>
      </c>
      <c r="F46" s="6">
        <v>0.6</v>
      </c>
      <c r="G46" s="58">
        <v>0.17</v>
      </c>
      <c r="H46" s="59">
        <v>71</v>
      </c>
      <c r="I46" s="6">
        <v>3</v>
      </c>
      <c r="J46" s="6">
        <v>2</v>
      </c>
      <c r="K46" s="58">
        <v>3</v>
      </c>
      <c r="L46" s="59">
        <v>26</v>
      </c>
      <c r="M46" s="6">
        <v>2.2999999999999998</v>
      </c>
      <c r="N46" s="6">
        <v>73</v>
      </c>
      <c r="O46" s="6">
        <v>60</v>
      </c>
      <c r="P46" s="6">
        <v>36</v>
      </c>
      <c r="Q46" s="58">
        <v>31</v>
      </c>
      <c r="R46" s="70">
        <v>0.98</v>
      </c>
      <c r="S46" s="14">
        <v>0.28000000000000003</v>
      </c>
      <c r="T46" s="14">
        <v>0.61</v>
      </c>
      <c r="U46" s="71">
        <v>0.16</v>
      </c>
    </row>
    <row r="47" spans="1:21" x14ac:dyDescent="0.2">
      <c r="A47" s="56">
        <v>44</v>
      </c>
      <c r="B47" s="59">
        <v>23</v>
      </c>
      <c r="C47" s="6">
        <v>2</v>
      </c>
      <c r="D47" s="6">
        <v>0.14000000000000001</v>
      </c>
      <c r="E47" s="6">
        <v>22</v>
      </c>
      <c r="F47" s="6">
        <v>0.89</v>
      </c>
      <c r="G47" s="58">
        <v>0.24</v>
      </c>
      <c r="H47" s="59">
        <v>192</v>
      </c>
      <c r="I47" s="6">
        <v>0.76</v>
      </c>
      <c r="J47" s="6">
        <v>6</v>
      </c>
      <c r="K47" s="58">
        <v>2</v>
      </c>
      <c r="L47" s="59">
        <v>26</v>
      </c>
      <c r="M47" s="6">
        <v>2</v>
      </c>
      <c r="N47" s="6">
        <v>168</v>
      </c>
      <c r="O47" s="6">
        <v>185</v>
      </c>
      <c r="P47" s="6">
        <v>36</v>
      </c>
      <c r="Q47" s="58">
        <v>31</v>
      </c>
      <c r="R47" s="70">
        <v>0.98</v>
      </c>
      <c r="S47" s="14">
        <v>0.33</v>
      </c>
      <c r="T47" s="14">
        <v>0.86</v>
      </c>
      <c r="U47" s="71">
        <v>0.18</v>
      </c>
    </row>
    <row r="48" spans="1:21" x14ac:dyDescent="0.2">
      <c r="A48" s="56">
        <v>45</v>
      </c>
      <c r="B48" s="59">
        <v>79</v>
      </c>
      <c r="C48" s="6">
        <v>0.59</v>
      </c>
      <c r="D48" s="6">
        <v>0.08</v>
      </c>
      <c r="E48" s="6">
        <v>132</v>
      </c>
      <c r="F48" s="6">
        <v>0.21</v>
      </c>
      <c r="G48" s="58">
        <v>0.13</v>
      </c>
      <c r="H48" s="59">
        <v>97</v>
      </c>
      <c r="I48" s="6">
        <v>1.1100000000000001</v>
      </c>
      <c r="J48" s="6">
        <v>3</v>
      </c>
      <c r="K48" s="58">
        <v>2</v>
      </c>
      <c r="L48" s="59">
        <v>26</v>
      </c>
      <c r="M48" s="6">
        <v>2</v>
      </c>
      <c r="N48" s="6">
        <v>101</v>
      </c>
      <c r="O48" s="6">
        <v>96</v>
      </c>
      <c r="P48" s="6">
        <v>36</v>
      </c>
      <c r="Q48" s="58">
        <v>31</v>
      </c>
      <c r="R48" s="70">
        <v>0.98</v>
      </c>
      <c r="S48" s="14">
        <v>0.19</v>
      </c>
      <c r="T48" s="14">
        <v>0.66</v>
      </c>
      <c r="U48" s="71">
        <v>0.17</v>
      </c>
    </row>
    <row r="49" spans="1:21" x14ac:dyDescent="0.2">
      <c r="A49" s="56">
        <v>46</v>
      </c>
      <c r="B49" s="59">
        <v>71</v>
      </c>
      <c r="C49" s="6">
        <v>0.62</v>
      </c>
      <c r="D49" s="6">
        <v>0.06</v>
      </c>
      <c r="E49" s="6">
        <v>134</v>
      </c>
      <c r="F49" s="6">
        <v>0.13</v>
      </c>
      <c r="G49" s="58">
        <v>0.1</v>
      </c>
      <c r="H49" s="59">
        <v>2</v>
      </c>
      <c r="I49" s="6">
        <v>0.96</v>
      </c>
      <c r="J49" s="6">
        <v>1.41</v>
      </c>
      <c r="K49" s="58">
        <v>0.93</v>
      </c>
      <c r="L49" s="59">
        <v>25</v>
      </c>
      <c r="M49" s="6">
        <v>1.1299999999999999</v>
      </c>
      <c r="N49" s="6">
        <v>27</v>
      </c>
      <c r="O49" s="6">
        <v>3.2</v>
      </c>
      <c r="P49" s="6">
        <v>35</v>
      </c>
      <c r="Q49" s="58">
        <v>31</v>
      </c>
      <c r="R49" s="70">
        <v>0.87</v>
      </c>
      <c r="S49" s="14">
        <v>0.16</v>
      </c>
      <c r="T49" s="14">
        <v>0.43</v>
      </c>
      <c r="U49" s="71">
        <v>0.14000000000000001</v>
      </c>
    </row>
    <row r="50" spans="1:21" x14ac:dyDescent="0.2">
      <c r="A50" s="56">
        <v>47</v>
      </c>
      <c r="B50" s="59">
        <v>21</v>
      </c>
      <c r="C50" s="6">
        <v>0.81</v>
      </c>
      <c r="D50" s="6">
        <v>0.02</v>
      </c>
      <c r="E50" s="6">
        <v>21</v>
      </c>
      <c r="F50" s="6">
        <v>0.24</v>
      </c>
      <c r="G50" s="58">
        <v>0.04</v>
      </c>
      <c r="H50" s="59">
        <v>0.92</v>
      </c>
      <c r="I50" s="6">
        <v>1.24</v>
      </c>
      <c r="J50" s="6">
        <v>0.78</v>
      </c>
      <c r="K50" s="58">
        <v>1.41</v>
      </c>
      <c r="L50" s="59">
        <v>25</v>
      </c>
      <c r="M50" s="6">
        <v>1.31</v>
      </c>
      <c r="N50" s="6">
        <v>26</v>
      </c>
      <c r="O50" s="6">
        <v>1.51</v>
      </c>
      <c r="P50" s="6">
        <v>36</v>
      </c>
      <c r="Q50" s="58">
        <v>31</v>
      </c>
      <c r="R50" s="70">
        <v>0.45</v>
      </c>
      <c r="S50" s="14">
        <v>0.14000000000000001</v>
      </c>
      <c r="T50" s="14">
        <v>0.28999999999999998</v>
      </c>
      <c r="U50" s="71">
        <v>0.08</v>
      </c>
    </row>
    <row r="51" spans="1:21" x14ac:dyDescent="0.2">
      <c r="A51" s="56">
        <v>48</v>
      </c>
      <c r="B51" s="59">
        <v>22</v>
      </c>
      <c r="C51" s="6">
        <v>2</v>
      </c>
      <c r="D51" s="6">
        <v>0.09</v>
      </c>
      <c r="E51" s="6">
        <v>22</v>
      </c>
      <c r="F51" s="6">
        <v>1</v>
      </c>
      <c r="G51" s="58">
        <v>0.27</v>
      </c>
      <c r="H51" s="59">
        <v>12</v>
      </c>
      <c r="I51" s="6">
        <v>0.41</v>
      </c>
      <c r="J51" s="6">
        <v>3</v>
      </c>
      <c r="K51" s="58">
        <v>1.28</v>
      </c>
      <c r="L51" s="59">
        <v>26</v>
      </c>
      <c r="M51" s="6">
        <v>1.33</v>
      </c>
      <c r="N51" s="6">
        <v>34</v>
      </c>
      <c r="O51" s="6">
        <v>12</v>
      </c>
      <c r="P51" s="6">
        <v>36</v>
      </c>
      <c r="Q51" s="58">
        <v>31</v>
      </c>
      <c r="R51" s="70">
        <v>0.97</v>
      </c>
      <c r="S51" s="14">
        <v>0.4</v>
      </c>
      <c r="T51" s="14">
        <v>0.64</v>
      </c>
      <c r="U51" s="71">
        <v>0.22</v>
      </c>
    </row>
    <row r="52" spans="1:21" x14ac:dyDescent="0.2">
      <c r="A52" s="56">
        <v>49</v>
      </c>
      <c r="B52" s="59">
        <v>26</v>
      </c>
      <c r="C52" s="6">
        <v>0.66</v>
      </c>
      <c r="D52" s="6">
        <v>0.02</v>
      </c>
      <c r="E52" s="6">
        <v>89</v>
      </c>
      <c r="F52" s="6">
        <v>0.21</v>
      </c>
      <c r="G52" s="58">
        <v>0.1</v>
      </c>
      <c r="H52" s="59">
        <v>116</v>
      </c>
      <c r="I52" s="6">
        <v>0.77</v>
      </c>
      <c r="J52" s="6">
        <v>2</v>
      </c>
      <c r="K52" s="58">
        <v>2</v>
      </c>
      <c r="L52" s="59">
        <v>26</v>
      </c>
      <c r="M52" s="6">
        <v>2</v>
      </c>
      <c r="N52" s="6">
        <v>111</v>
      </c>
      <c r="O52" s="6">
        <v>107</v>
      </c>
      <c r="P52" s="6">
        <v>35</v>
      </c>
      <c r="Q52" s="58">
        <v>31</v>
      </c>
      <c r="R52" s="70">
        <v>0.97</v>
      </c>
      <c r="S52" s="14">
        <v>0.2</v>
      </c>
      <c r="T52" s="14">
        <v>0.55000000000000004</v>
      </c>
      <c r="U52" s="71">
        <v>0.16</v>
      </c>
    </row>
    <row r="53" spans="1:21" x14ac:dyDescent="0.2">
      <c r="A53" s="56">
        <v>50</v>
      </c>
      <c r="B53" s="59">
        <v>23</v>
      </c>
      <c r="C53" s="6">
        <v>0.89</v>
      </c>
      <c r="D53" s="6">
        <v>0.05</v>
      </c>
      <c r="E53" s="6">
        <v>28</v>
      </c>
      <c r="F53" s="6">
        <v>0.31</v>
      </c>
      <c r="G53" s="58">
        <v>0.08</v>
      </c>
      <c r="H53" s="59">
        <v>143</v>
      </c>
      <c r="I53" s="6">
        <v>3</v>
      </c>
      <c r="J53" s="6">
        <v>2</v>
      </c>
      <c r="K53" s="58">
        <v>3</v>
      </c>
      <c r="L53" s="59">
        <v>26</v>
      </c>
      <c r="M53" s="6">
        <v>3</v>
      </c>
      <c r="N53" s="6">
        <v>131</v>
      </c>
      <c r="O53" s="6">
        <v>133</v>
      </c>
      <c r="P53" s="6">
        <v>36</v>
      </c>
      <c r="Q53" s="58">
        <v>31</v>
      </c>
      <c r="R53" s="70">
        <v>0.98</v>
      </c>
      <c r="S53" s="14">
        <v>0.21</v>
      </c>
      <c r="T53" s="14">
        <v>0.6</v>
      </c>
      <c r="U53" s="71">
        <v>0.11</v>
      </c>
    </row>
    <row r="54" spans="1:21" x14ac:dyDescent="0.2">
      <c r="A54" s="56">
        <v>51</v>
      </c>
      <c r="B54" s="59">
        <v>21</v>
      </c>
      <c r="C54" s="6">
        <v>0.7</v>
      </c>
      <c r="D54" s="6">
        <v>0.02</v>
      </c>
      <c r="E54" s="6">
        <v>21</v>
      </c>
      <c r="F54" s="6">
        <v>0.37</v>
      </c>
      <c r="G54" s="58">
        <v>0.06</v>
      </c>
      <c r="H54" s="59">
        <v>64</v>
      </c>
      <c r="I54" s="6">
        <v>0.95</v>
      </c>
      <c r="J54" s="6">
        <v>2</v>
      </c>
      <c r="K54" s="58">
        <v>1.32</v>
      </c>
      <c r="L54" s="59">
        <v>26</v>
      </c>
      <c r="M54" s="6">
        <v>1.34</v>
      </c>
      <c r="N54" s="6">
        <v>75</v>
      </c>
      <c r="O54" s="6">
        <v>62</v>
      </c>
      <c r="P54" s="6">
        <v>35</v>
      </c>
      <c r="Q54" s="58">
        <v>31</v>
      </c>
      <c r="R54" s="70">
        <v>0.98</v>
      </c>
      <c r="S54" s="14">
        <v>0.25</v>
      </c>
      <c r="T54" s="14">
        <v>0.48</v>
      </c>
      <c r="U54" s="71">
        <v>0.13</v>
      </c>
    </row>
    <row r="55" spans="1:21" x14ac:dyDescent="0.2">
      <c r="A55" s="56">
        <v>52</v>
      </c>
      <c r="B55" s="59">
        <v>22</v>
      </c>
      <c r="C55" s="6">
        <v>1.18</v>
      </c>
      <c r="D55" s="6">
        <v>0.05</v>
      </c>
      <c r="E55" s="6">
        <v>23</v>
      </c>
      <c r="F55" s="6">
        <v>0.72</v>
      </c>
      <c r="G55" s="58">
        <v>0.16</v>
      </c>
      <c r="H55" s="59">
        <v>180</v>
      </c>
      <c r="I55" s="6">
        <v>3</v>
      </c>
      <c r="J55" s="6">
        <v>4</v>
      </c>
      <c r="K55" s="58">
        <v>3</v>
      </c>
      <c r="L55" s="59">
        <v>26</v>
      </c>
      <c r="M55" s="6">
        <v>3</v>
      </c>
      <c r="N55" s="6">
        <v>166</v>
      </c>
      <c r="O55" s="6">
        <v>178</v>
      </c>
      <c r="P55" s="6">
        <v>36</v>
      </c>
      <c r="Q55" s="58">
        <v>31</v>
      </c>
      <c r="R55" s="70">
        <v>0.98</v>
      </c>
      <c r="S55" s="14">
        <v>0.33</v>
      </c>
      <c r="T55" s="14">
        <v>0.75</v>
      </c>
      <c r="U55" s="71">
        <v>0.18</v>
      </c>
    </row>
    <row r="56" spans="1:21" x14ac:dyDescent="0.2">
      <c r="A56" s="56">
        <v>53</v>
      </c>
      <c r="B56" s="59">
        <v>108</v>
      </c>
      <c r="C56" s="6">
        <v>0.27</v>
      </c>
      <c r="D56" s="6">
        <v>0.04</v>
      </c>
      <c r="E56" s="6">
        <v>154</v>
      </c>
      <c r="F56" s="6">
        <v>0.06</v>
      </c>
      <c r="G56" s="58">
        <v>0.09</v>
      </c>
      <c r="H56" s="59">
        <v>82</v>
      </c>
      <c r="I56" s="6">
        <v>0.84</v>
      </c>
      <c r="J56" s="6">
        <v>4</v>
      </c>
      <c r="K56" s="58">
        <v>2</v>
      </c>
      <c r="L56" s="59">
        <v>26</v>
      </c>
      <c r="M56" s="6">
        <v>2</v>
      </c>
      <c r="N56" s="6">
        <v>82</v>
      </c>
      <c r="O56" s="6">
        <v>73</v>
      </c>
      <c r="P56" s="6">
        <v>36</v>
      </c>
      <c r="Q56" s="58">
        <v>31</v>
      </c>
      <c r="R56" s="70">
        <v>0.98</v>
      </c>
      <c r="S56" s="14">
        <v>0.13</v>
      </c>
      <c r="T56" s="14">
        <v>0.76</v>
      </c>
      <c r="U56" s="71">
        <v>0.13</v>
      </c>
    </row>
    <row r="57" spans="1:21" x14ac:dyDescent="0.2">
      <c r="A57" s="56">
        <v>54</v>
      </c>
      <c r="B57" s="59">
        <v>169</v>
      </c>
      <c r="C57" s="6">
        <v>0.03</v>
      </c>
      <c r="D57" s="6">
        <v>0.06</v>
      </c>
      <c r="E57" s="6">
        <v>190</v>
      </c>
      <c r="F57" s="6">
        <v>0.01</v>
      </c>
      <c r="G57" s="58">
        <v>0.09</v>
      </c>
      <c r="H57" s="59">
        <v>78</v>
      </c>
      <c r="I57" s="6">
        <v>0.89</v>
      </c>
      <c r="J57" s="6">
        <v>2</v>
      </c>
      <c r="K57" s="58">
        <v>2</v>
      </c>
      <c r="L57" s="59">
        <v>25</v>
      </c>
      <c r="M57" s="6">
        <v>1.25</v>
      </c>
      <c r="N57" s="6">
        <v>76</v>
      </c>
      <c r="O57" s="6">
        <v>63</v>
      </c>
      <c r="P57" s="6">
        <v>36</v>
      </c>
      <c r="Q57" s="58">
        <v>31</v>
      </c>
      <c r="R57" s="70">
        <v>0.98</v>
      </c>
      <c r="S57" s="14">
        <v>0.08</v>
      </c>
      <c r="T57" s="14">
        <v>0.62</v>
      </c>
      <c r="U57" s="71">
        <v>0.12</v>
      </c>
    </row>
    <row r="58" spans="1:21" x14ac:dyDescent="0.2">
      <c r="A58" s="56">
        <v>55</v>
      </c>
      <c r="B58" s="59">
        <v>21</v>
      </c>
      <c r="C58" s="6">
        <v>0.54</v>
      </c>
      <c r="D58" s="6">
        <v>7.0000000000000001E-3</v>
      </c>
      <c r="E58" s="6">
        <v>21</v>
      </c>
      <c r="F58" s="6">
        <v>0.21</v>
      </c>
      <c r="G58" s="58">
        <v>0.01</v>
      </c>
      <c r="H58" s="59">
        <v>0.6</v>
      </c>
      <c r="I58" s="6">
        <v>0.42</v>
      </c>
      <c r="J58" s="6">
        <v>0.52</v>
      </c>
      <c r="K58" s="58">
        <v>0.86</v>
      </c>
      <c r="L58" s="59">
        <v>25</v>
      </c>
      <c r="M58" s="6">
        <v>1</v>
      </c>
      <c r="N58" s="6">
        <v>26</v>
      </c>
      <c r="O58" s="6">
        <v>1.1599999999999999</v>
      </c>
      <c r="P58" s="6">
        <v>36</v>
      </c>
      <c r="Q58" s="58">
        <v>31</v>
      </c>
      <c r="R58" s="70">
        <v>0.35</v>
      </c>
      <c r="S58" s="14">
        <v>0.15</v>
      </c>
      <c r="T58" s="14">
        <v>0.21</v>
      </c>
      <c r="U58" s="71">
        <v>7.0000000000000007E-2</v>
      </c>
    </row>
    <row r="59" spans="1:21" x14ac:dyDescent="0.2">
      <c r="A59" s="56">
        <v>56</v>
      </c>
      <c r="B59" s="59">
        <v>23</v>
      </c>
      <c r="C59" s="6">
        <v>1.82</v>
      </c>
      <c r="D59" s="6">
        <v>0.08</v>
      </c>
      <c r="E59" s="6">
        <v>22</v>
      </c>
      <c r="F59" s="6">
        <v>0.7</v>
      </c>
      <c r="G59" s="58">
        <v>0.16</v>
      </c>
      <c r="H59" s="59">
        <v>2.2799999999999998</v>
      </c>
      <c r="I59" s="6">
        <v>3</v>
      </c>
      <c r="J59" s="6">
        <v>1.95</v>
      </c>
      <c r="K59" s="58">
        <v>3.1</v>
      </c>
      <c r="L59" s="59">
        <v>26</v>
      </c>
      <c r="M59" s="6">
        <v>2.56</v>
      </c>
      <c r="N59" s="6">
        <v>28</v>
      </c>
      <c r="O59" s="6">
        <v>4</v>
      </c>
      <c r="P59" s="6">
        <v>36</v>
      </c>
      <c r="Q59" s="58">
        <v>31</v>
      </c>
      <c r="R59" s="70">
        <v>0.88</v>
      </c>
      <c r="S59" s="14">
        <v>0.32</v>
      </c>
      <c r="T59" s="14">
        <v>0.55000000000000004</v>
      </c>
      <c r="U59" s="71">
        <v>0.18</v>
      </c>
    </row>
    <row r="60" spans="1:21" x14ac:dyDescent="0.2">
      <c r="A60" s="56">
        <v>57</v>
      </c>
      <c r="B60" s="59">
        <v>22</v>
      </c>
      <c r="C60" s="6">
        <v>0.56000000000000005</v>
      </c>
      <c r="D60" s="6">
        <v>4.0000000000000001E-3</v>
      </c>
      <c r="E60" s="6">
        <v>24</v>
      </c>
      <c r="F60" s="6">
        <v>0.2</v>
      </c>
      <c r="G60" s="58">
        <v>0.03</v>
      </c>
      <c r="H60" s="59">
        <v>132</v>
      </c>
      <c r="I60" s="6">
        <v>1.85</v>
      </c>
      <c r="J60" s="6">
        <v>2.52</v>
      </c>
      <c r="K60" s="58">
        <v>2.4900000000000002</v>
      </c>
      <c r="L60" s="59">
        <v>26</v>
      </c>
      <c r="M60" s="6">
        <v>2.6</v>
      </c>
      <c r="N60" s="6">
        <v>128</v>
      </c>
      <c r="O60" s="6">
        <v>130</v>
      </c>
      <c r="P60" s="6">
        <v>36</v>
      </c>
      <c r="Q60" s="58">
        <v>31</v>
      </c>
      <c r="R60" s="70">
        <v>0.98</v>
      </c>
      <c r="S60" s="14">
        <v>0.19</v>
      </c>
      <c r="T60" s="14">
        <v>0.59</v>
      </c>
      <c r="U60" s="71">
        <v>0.1</v>
      </c>
    </row>
    <row r="61" spans="1:21" x14ac:dyDescent="0.2">
      <c r="A61" s="56">
        <v>58</v>
      </c>
      <c r="B61" s="59">
        <v>151</v>
      </c>
      <c r="C61" s="6">
        <v>7.0000000000000007E-2</v>
      </c>
      <c r="D61" s="6">
        <v>0.03</v>
      </c>
      <c r="E61" s="6">
        <v>175</v>
      </c>
      <c r="F61" s="6">
        <v>0.01</v>
      </c>
      <c r="G61" s="58">
        <v>0.06</v>
      </c>
      <c r="H61" s="59">
        <v>2.4</v>
      </c>
      <c r="I61" s="6">
        <v>0.57999999999999996</v>
      </c>
      <c r="J61" s="6">
        <v>1.4</v>
      </c>
      <c r="K61" s="58">
        <v>1.35</v>
      </c>
      <c r="L61" s="59">
        <v>25</v>
      </c>
      <c r="M61" s="6">
        <v>1.57</v>
      </c>
      <c r="N61" s="6">
        <v>27</v>
      </c>
      <c r="O61" s="6">
        <v>3.2</v>
      </c>
      <c r="P61" s="6">
        <v>35</v>
      </c>
      <c r="Q61" s="58">
        <v>31</v>
      </c>
      <c r="R61" s="70">
        <v>0.87</v>
      </c>
      <c r="S61" s="14">
        <v>7.0000000000000007E-2</v>
      </c>
      <c r="T61" s="14">
        <v>0.42</v>
      </c>
      <c r="U61" s="71">
        <v>0.09</v>
      </c>
    </row>
    <row r="62" spans="1:21" x14ac:dyDescent="0.2">
      <c r="A62" s="56">
        <v>59</v>
      </c>
      <c r="B62" s="59">
        <v>21</v>
      </c>
      <c r="C62" s="6">
        <v>0.49</v>
      </c>
      <c r="D62" s="6">
        <v>2E-3</v>
      </c>
      <c r="E62" s="6">
        <v>21</v>
      </c>
      <c r="F62" s="6">
        <v>0.25</v>
      </c>
      <c r="G62" s="58">
        <v>0.02</v>
      </c>
      <c r="H62" s="59">
        <v>46</v>
      </c>
      <c r="I62" s="6">
        <v>1.32</v>
      </c>
      <c r="J62" s="6">
        <v>2.3199999999999998</v>
      </c>
      <c r="K62" s="58">
        <v>1.69</v>
      </c>
      <c r="L62" s="59">
        <v>26</v>
      </c>
      <c r="M62" s="6">
        <v>2</v>
      </c>
      <c r="N62" s="6">
        <v>55</v>
      </c>
      <c r="O62" s="6">
        <v>38</v>
      </c>
      <c r="P62" s="6">
        <v>35</v>
      </c>
      <c r="Q62" s="58">
        <v>31</v>
      </c>
      <c r="R62" s="70">
        <v>0.98</v>
      </c>
      <c r="S62" s="14">
        <v>0.19</v>
      </c>
      <c r="T62" s="14">
        <v>0.59</v>
      </c>
      <c r="U62" s="71">
        <v>0.11</v>
      </c>
    </row>
    <row r="63" spans="1:21" x14ac:dyDescent="0.2">
      <c r="A63" s="56">
        <v>60</v>
      </c>
      <c r="B63" s="59">
        <v>23</v>
      </c>
      <c r="C63" s="6">
        <v>1.4</v>
      </c>
      <c r="D63" s="6">
        <v>0.05</v>
      </c>
      <c r="E63" s="6">
        <v>23</v>
      </c>
      <c r="F63" s="6">
        <v>0.67</v>
      </c>
      <c r="G63" s="58">
        <v>0.11</v>
      </c>
      <c r="H63" s="59">
        <v>158</v>
      </c>
      <c r="I63" s="6">
        <v>1.8</v>
      </c>
      <c r="J63" s="6">
        <v>6.7</v>
      </c>
      <c r="K63" s="58">
        <v>2.8</v>
      </c>
      <c r="L63" s="59">
        <v>26</v>
      </c>
      <c r="M63" s="6">
        <v>2.5</v>
      </c>
      <c r="N63" s="6">
        <v>144</v>
      </c>
      <c r="O63" s="6">
        <v>153</v>
      </c>
      <c r="P63" s="6">
        <v>35</v>
      </c>
      <c r="Q63" s="58">
        <v>31</v>
      </c>
      <c r="R63" s="70">
        <v>0.98</v>
      </c>
      <c r="S63" s="14">
        <v>0.31</v>
      </c>
      <c r="T63" s="14">
        <v>0.9</v>
      </c>
      <c r="U63" s="71">
        <v>0.17</v>
      </c>
    </row>
    <row r="64" spans="1:21" x14ac:dyDescent="0.2">
      <c r="A64" s="56">
        <v>61</v>
      </c>
      <c r="B64" s="59">
        <v>77</v>
      </c>
      <c r="C64" s="6">
        <v>0.64</v>
      </c>
      <c r="D64" s="6">
        <v>0.09</v>
      </c>
      <c r="E64" s="6">
        <v>137</v>
      </c>
      <c r="F64" s="6">
        <v>0.17</v>
      </c>
      <c r="G64" s="58">
        <v>0.12</v>
      </c>
      <c r="H64" s="59">
        <v>138</v>
      </c>
      <c r="I64" s="6">
        <v>2.8</v>
      </c>
      <c r="J64" s="6">
        <v>4</v>
      </c>
      <c r="K64" s="58">
        <v>2.7</v>
      </c>
      <c r="L64" s="59">
        <v>26</v>
      </c>
      <c r="M64" s="6">
        <v>2.8</v>
      </c>
      <c r="N64" s="6">
        <v>132</v>
      </c>
      <c r="O64" s="6">
        <v>136</v>
      </c>
      <c r="P64" s="6">
        <v>36</v>
      </c>
      <c r="Q64" s="58">
        <v>31</v>
      </c>
      <c r="R64" s="70">
        <v>0.98</v>
      </c>
      <c r="S64" s="14">
        <v>0.16</v>
      </c>
      <c r="T64" s="14">
        <v>0.77</v>
      </c>
      <c r="U64" s="71">
        <v>0.15</v>
      </c>
    </row>
    <row r="65" spans="1:21" x14ac:dyDescent="0.2">
      <c r="A65" s="56">
        <v>62</v>
      </c>
      <c r="B65" s="59">
        <v>26</v>
      </c>
      <c r="C65" s="6">
        <v>0.7</v>
      </c>
      <c r="D65" s="6">
        <v>0.04</v>
      </c>
      <c r="E65" s="6">
        <v>77</v>
      </c>
      <c r="F65" s="6">
        <v>0.19</v>
      </c>
      <c r="G65" s="58">
        <v>0.09</v>
      </c>
      <c r="H65" s="59">
        <v>66</v>
      </c>
      <c r="I65" s="6">
        <v>1.22</v>
      </c>
      <c r="J65" s="6">
        <v>3.59</v>
      </c>
      <c r="K65" s="58">
        <v>1.81</v>
      </c>
      <c r="L65" s="59">
        <v>26</v>
      </c>
      <c r="M65" s="6">
        <v>1.47</v>
      </c>
      <c r="N65" s="6">
        <v>72</v>
      </c>
      <c r="O65" s="6">
        <v>61</v>
      </c>
      <c r="P65" s="6">
        <v>36</v>
      </c>
      <c r="Q65" s="58">
        <v>31</v>
      </c>
      <c r="R65" s="70">
        <v>0.98</v>
      </c>
      <c r="S65" s="14">
        <v>0.18</v>
      </c>
      <c r="T65" s="14">
        <v>0.77</v>
      </c>
      <c r="U65" s="71">
        <v>0.13</v>
      </c>
    </row>
    <row r="66" spans="1:21" x14ac:dyDescent="0.2">
      <c r="A66" s="56">
        <v>63</v>
      </c>
      <c r="B66" s="59">
        <v>22</v>
      </c>
      <c r="C66" s="6">
        <v>0.77</v>
      </c>
      <c r="D66" s="6">
        <v>0.03</v>
      </c>
      <c r="E66" s="6">
        <v>22</v>
      </c>
      <c r="F66" s="6">
        <v>0.4</v>
      </c>
      <c r="G66" s="58">
        <v>0.05</v>
      </c>
      <c r="H66" s="59">
        <v>5</v>
      </c>
      <c r="I66" s="6">
        <v>1.78</v>
      </c>
      <c r="J66" s="6">
        <v>1.71</v>
      </c>
      <c r="K66" s="58">
        <v>1.66</v>
      </c>
      <c r="L66" s="59">
        <v>25</v>
      </c>
      <c r="M66" s="6">
        <v>1.5</v>
      </c>
      <c r="N66" s="6">
        <v>29</v>
      </c>
      <c r="O66" s="6">
        <v>5</v>
      </c>
      <c r="P66" s="6">
        <v>36</v>
      </c>
      <c r="Q66" s="58">
        <v>31</v>
      </c>
      <c r="R66" s="70">
        <v>0.95</v>
      </c>
      <c r="S66" s="14">
        <v>0.22</v>
      </c>
      <c r="T66" s="14">
        <v>0.46</v>
      </c>
      <c r="U66" s="71">
        <v>0.12</v>
      </c>
    </row>
    <row r="67" spans="1:21" x14ac:dyDescent="0.2">
      <c r="A67" s="56">
        <v>64</v>
      </c>
      <c r="B67" s="59">
        <v>24</v>
      </c>
      <c r="C67" s="6">
        <v>1.39</v>
      </c>
      <c r="D67" s="6">
        <v>0.1</v>
      </c>
      <c r="E67" s="6">
        <v>28</v>
      </c>
      <c r="F67" s="6">
        <v>0.79</v>
      </c>
      <c r="G67" s="58">
        <v>0.28000000000000003</v>
      </c>
      <c r="H67" s="59">
        <v>18</v>
      </c>
      <c r="I67" s="6">
        <v>2.5</v>
      </c>
      <c r="J67" s="6">
        <v>1.97</v>
      </c>
      <c r="K67" s="58">
        <v>2.2999999999999998</v>
      </c>
      <c r="L67" s="59">
        <v>26</v>
      </c>
      <c r="M67" s="6">
        <v>2.2999999999999998</v>
      </c>
      <c r="N67" s="6">
        <v>38</v>
      </c>
      <c r="O67" s="6">
        <v>17</v>
      </c>
      <c r="P67" s="6">
        <v>36</v>
      </c>
      <c r="Q67" s="58">
        <v>31</v>
      </c>
      <c r="R67" s="70">
        <v>0.97</v>
      </c>
      <c r="S67" s="14">
        <v>0.4</v>
      </c>
      <c r="T67" s="14">
        <v>0.51</v>
      </c>
      <c r="U67" s="71">
        <v>0.23</v>
      </c>
    </row>
    <row r="68" spans="1:21" x14ac:dyDescent="0.2">
      <c r="A68" s="56">
        <v>65</v>
      </c>
      <c r="B68" s="59">
        <v>23</v>
      </c>
      <c r="C68" s="6">
        <v>0.99</v>
      </c>
      <c r="D68" s="6">
        <v>0.06</v>
      </c>
      <c r="E68" s="6">
        <v>24</v>
      </c>
      <c r="F68" s="6">
        <v>0.49</v>
      </c>
      <c r="G68" s="58">
        <v>0.12</v>
      </c>
      <c r="H68" s="59">
        <v>58</v>
      </c>
      <c r="I68" s="6">
        <v>1.28</v>
      </c>
      <c r="J68" s="6">
        <v>2.2999999999999998</v>
      </c>
      <c r="K68" s="58">
        <v>2.2599999999999998</v>
      </c>
      <c r="L68" s="59">
        <v>26</v>
      </c>
      <c r="M68" s="6">
        <v>1.97</v>
      </c>
      <c r="N68" s="6">
        <v>66</v>
      </c>
      <c r="O68" s="6">
        <v>51</v>
      </c>
      <c r="P68" s="6">
        <v>35</v>
      </c>
      <c r="Q68" s="58">
        <v>31</v>
      </c>
      <c r="R68" s="70">
        <v>0.98</v>
      </c>
      <c r="S68" s="14">
        <v>0.28000000000000003</v>
      </c>
      <c r="T68" s="14">
        <v>0.59</v>
      </c>
      <c r="U68" s="71">
        <v>0.15</v>
      </c>
    </row>
    <row r="69" spans="1:21" x14ac:dyDescent="0.2">
      <c r="A69" s="56">
        <v>66</v>
      </c>
      <c r="B69" s="59">
        <v>23</v>
      </c>
      <c r="C69" s="6">
        <v>1.04</v>
      </c>
      <c r="D69" s="6">
        <v>0.13</v>
      </c>
      <c r="E69" s="6">
        <v>27</v>
      </c>
      <c r="F69" s="6">
        <v>0.64</v>
      </c>
      <c r="G69" s="58">
        <v>0.25</v>
      </c>
      <c r="H69" s="59">
        <v>67</v>
      </c>
      <c r="I69" s="6">
        <v>1.77</v>
      </c>
      <c r="J69" s="6">
        <v>2.27</v>
      </c>
      <c r="K69" s="58">
        <v>2.11</v>
      </c>
      <c r="L69" s="59">
        <v>26</v>
      </c>
      <c r="M69" s="6">
        <v>2.02</v>
      </c>
      <c r="N69" s="6">
        <v>76</v>
      </c>
      <c r="O69" s="6">
        <v>64</v>
      </c>
      <c r="P69" s="6">
        <v>36</v>
      </c>
      <c r="Q69" s="58">
        <v>31</v>
      </c>
      <c r="R69" s="70">
        <v>0.98</v>
      </c>
      <c r="S69" s="14">
        <v>0.32</v>
      </c>
      <c r="T69" s="14">
        <v>0.59</v>
      </c>
      <c r="U69" s="71">
        <v>0.19</v>
      </c>
    </row>
    <row r="70" spans="1:21" x14ac:dyDescent="0.2">
      <c r="A70" s="56">
        <v>67</v>
      </c>
      <c r="B70" s="59">
        <v>22</v>
      </c>
      <c r="C70" s="6">
        <v>1.31</v>
      </c>
      <c r="D70" s="6">
        <v>7.0000000000000007E-2</v>
      </c>
      <c r="E70" s="6">
        <v>22</v>
      </c>
      <c r="F70" s="6">
        <v>0.57999999999999996</v>
      </c>
      <c r="G70" s="58">
        <v>0.13</v>
      </c>
      <c r="H70" s="59">
        <v>143</v>
      </c>
      <c r="I70" s="6">
        <v>0.63</v>
      </c>
      <c r="J70" s="6">
        <v>2.86</v>
      </c>
      <c r="K70" s="58">
        <v>1.49</v>
      </c>
      <c r="L70" s="59">
        <v>26</v>
      </c>
      <c r="M70" s="6">
        <v>1.44</v>
      </c>
      <c r="N70" s="6">
        <v>133</v>
      </c>
      <c r="O70" s="6">
        <v>134</v>
      </c>
      <c r="P70" s="6">
        <v>35</v>
      </c>
      <c r="Q70" s="58">
        <v>31</v>
      </c>
      <c r="R70" s="70">
        <v>0.98</v>
      </c>
      <c r="S70" s="14">
        <v>0.28000000000000003</v>
      </c>
      <c r="T70" s="14">
        <v>0.64</v>
      </c>
      <c r="U70" s="71">
        <v>0.15</v>
      </c>
    </row>
    <row r="71" spans="1:21" x14ac:dyDescent="0.2">
      <c r="A71" s="56">
        <v>68</v>
      </c>
      <c r="B71" s="59">
        <v>22</v>
      </c>
      <c r="C71" s="6">
        <v>1.85</v>
      </c>
      <c r="D71" s="6">
        <v>0.08</v>
      </c>
      <c r="E71" s="6">
        <v>22</v>
      </c>
      <c r="F71" s="6">
        <v>0.9</v>
      </c>
      <c r="G71" s="58">
        <v>0.2</v>
      </c>
      <c r="H71" s="59">
        <v>141</v>
      </c>
      <c r="I71" s="6">
        <v>2.19</v>
      </c>
      <c r="J71" s="6">
        <v>4</v>
      </c>
      <c r="K71" s="58">
        <v>2.1800000000000002</v>
      </c>
      <c r="L71" s="59">
        <v>26</v>
      </c>
      <c r="M71" s="6">
        <v>2.41</v>
      </c>
      <c r="N71" s="6">
        <v>125</v>
      </c>
      <c r="O71" s="6">
        <v>127</v>
      </c>
      <c r="P71" s="6">
        <v>36</v>
      </c>
      <c r="Q71" s="58">
        <v>31</v>
      </c>
      <c r="R71" s="70">
        <v>0.98</v>
      </c>
      <c r="S71" s="14">
        <v>0.33</v>
      </c>
      <c r="T71" s="14">
        <v>0.8</v>
      </c>
      <c r="U71" s="71">
        <v>0.18</v>
      </c>
    </row>
    <row r="72" spans="1:21" x14ac:dyDescent="0.2">
      <c r="A72" s="56">
        <v>69</v>
      </c>
      <c r="B72" s="59">
        <v>22</v>
      </c>
      <c r="C72" s="6">
        <v>0.95</v>
      </c>
      <c r="D72" s="6">
        <v>0.04</v>
      </c>
      <c r="E72" s="6">
        <v>21</v>
      </c>
      <c r="F72" s="6">
        <v>0.51</v>
      </c>
      <c r="G72" s="58">
        <v>0.11</v>
      </c>
      <c r="H72" s="59">
        <v>109</v>
      </c>
      <c r="I72" s="6">
        <v>1.1299999999999999</v>
      </c>
      <c r="J72" s="6">
        <v>1.69</v>
      </c>
      <c r="K72" s="58">
        <v>1.37</v>
      </c>
      <c r="L72" s="59">
        <v>25</v>
      </c>
      <c r="M72" s="6">
        <v>1.33</v>
      </c>
      <c r="N72" s="6">
        <v>102</v>
      </c>
      <c r="O72" s="6">
        <v>97</v>
      </c>
      <c r="P72" s="6">
        <v>36</v>
      </c>
      <c r="Q72" s="58">
        <v>31</v>
      </c>
      <c r="R72" s="70">
        <v>0.98</v>
      </c>
      <c r="S72" s="14">
        <v>0.28999999999999998</v>
      </c>
      <c r="T72" s="14">
        <v>0.5</v>
      </c>
      <c r="U72" s="71">
        <v>0.15</v>
      </c>
    </row>
    <row r="73" spans="1:21" x14ac:dyDescent="0.2">
      <c r="A73" s="56">
        <v>70</v>
      </c>
      <c r="B73" s="59">
        <v>27</v>
      </c>
      <c r="C73" s="6">
        <v>1.52</v>
      </c>
      <c r="D73" s="6">
        <v>0.22</v>
      </c>
      <c r="E73" s="6">
        <v>91</v>
      </c>
      <c r="F73" s="6">
        <v>0.5</v>
      </c>
      <c r="G73" s="58">
        <v>0.28999999999999998</v>
      </c>
      <c r="H73" s="59">
        <v>1.79</v>
      </c>
      <c r="I73" s="6">
        <v>2.76</v>
      </c>
      <c r="J73" s="6">
        <v>1.21</v>
      </c>
      <c r="K73" s="58">
        <v>2.42</v>
      </c>
      <c r="L73" s="59">
        <v>26</v>
      </c>
      <c r="M73" s="6">
        <v>3</v>
      </c>
      <c r="N73" s="6">
        <v>28</v>
      </c>
      <c r="O73" s="6">
        <v>3</v>
      </c>
      <c r="P73" s="6">
        <v>35</v>
      </c>
      <c r="Q73" s="58">
        <v>31</v>
      </c>
      <c r="R73" s="70">
        <v>0.79</v>
      </c>
      <c r="S73" s="14">
        <v>0.27</v>
      </c>
      <c r="T73" s="14">
        <v>0.38</v>
      </c>
      <c r="U73" s="71">
        <v>0.2</v>
      </c>
    </row>
    <row r="74" spans="1:21" x14ac:dyDescent="0.2">
      <c r="A74" s="56">
        <v>71</v>
      </c>
      <c r="B74" s="59">
        <v>32</v>
      </c>
      <c r="C74" s="6">
        <v>1.23</v>
      </c>
      <c r="D74" s="6">
        <v>0.13</v>
      </c>
      <c r="E74" s="6">
        <v>103</v>
      </c>
      <c r="F74" s="6">
        <v>0.35</v>
      </c>
      <c r="G74" s="58">
        <v>0.2</v>
      </c>
      <c r="H74" s="59">
        <v>2.2000000000000002</v>
      </c>
      <c r="I74" s="6">
        <v>0.52</v>
      </c>
      <c r="J74" s="6">
        <v>1.42</v>
      </c>
      <c r="K74" s="58">
        <v>1.91</v>
      </c>
      <c r="L74" s="59">
        <v>26</v>
      </c>
      <c r="M74" s="6">
        <v>2</v>
      </c>
      <c r="N74" s="6">
        <v>28</v>
      </c>
      <c r="O74" s="6">
        <v>3.5</v>
      </c>
      <c r="P74" s="6">
        <v>36</v>
      </c>
      <c r="Q74" s="58">
        <v>31</v>
      </c>
      <c r="R74" s="70">
        <v>0.83</v>
      </c>
      <c r="S74" s="14">
        <v>0.23</v>
      </c>
      <c r="T74" s="14">
        <v>0.41</v>
      </c>
      <c r="U74" s="71">
        <v>0.18</v>
      </c>
    </row>
    <row r="75" spans="1:21" x14ac:dyDescent="0.2">
      <c r="A75" s="56">
        <v>72</v>
      </c>
      <c r="B75" s="59">
        <v>23</v>
      </c>
      <c r="C75" s="6">
        <v>2.0499999999999998</v>
      </c>
      <c r="D75" s="6">
        <v>0.19</v>
      </c>
      <c r="E75" s="6">
        <v>24</v>
      </c>
      <c r="F75" s="6">
        <v>1.61</v>
      </c>
      <c r="G75" s="58">
        <v>0.54</v>
      </c>
      <c r="H75" s="59">
        <v>178</v>
      </c>
      <c r="I75" s="6">
        <v>2.79</v>
      </c>
      <c r="J75" s="6">
        <v>18</v>
      </c>
      <c r="K75" s="58">
        <v>3</v>
      </c>
      <c r="L75" s="59">
        <v>26</v>
      </c>
      <c r="M75" s="6">
        <v>4</v>
      </c>
      <c r="N75" s="6">
        <v>157</v>
      </c>
      <c r="O75" s="6">
        <v>175</v>
      </c>
      <c r="P75" s="6">
        <v>36</v>
      </c>
      <c r="Q75" s="58">
        <v>31</v>
      </c>
      <c r="R75" s="70">
        <v>0.98</v>
      </c>
      <c r="S75" s="14">
        <v>0.55000000000000004</v>
      </c>
      <c r="T75" s="14">
        <v>0.96</v>
      </c>
      <c r="U75" s="71">
        <v>0.31</v>
      </c>
    </row>
    <row r="76" spans="1:21" x14ac:dyDescent="0.2">
      <c r="A76" s="56">
        <v>73</v>
      </c>
      <c r="B76" s="59">
        <v>22</v>
      </c>
      <c r="C76" s="6">
        <v>1.06</v>
      </c>
      <c r="D76" s="6">
        <v>0.02</v>
      </c>
      <c r="E76" s="6">
        <v>21</v>
      </c>
      <c r="F76" s="6">
        <v>0.36</v>
      </c>
      <c r="G76" s="58">
        <v>0.05</v>
      </c>
      <c r="H76" s="59">
        <v>2.57</v>
      </c>
      <c r="I76" s="6">
        <v>0.23</v>
      </c>
      <c r="J76" s="6">
        <v>1.6</v>
      </c>
      <c r="K76" s="58">
        <v>1</v>
      </c>
      <c r="L76" s="59">
        <v>25</v>
      </c>
      <c r="M76" s="6">
        <v>1</v>
      </c>
      <c r="N76" s="6">
        <v>27</v>
      </c>
      <c r="O76" s="6">
        <v>3</v>
      </c>
      <c r="P76" s="6">
        <v>35</v>
      </c>
      <c r="Q76" s="58">
        <v>31</v>
      </c>
      <c r="R76" s="70">
        <v>0.89</v>
      </c>
      <c r="S76" s="14">
        <v>0.2</v>
      </c>
      <c r="T76" s="14">
        <v>0.44</v>
      </c>
      <c r="U76" s="71">
        <v>0.11</v>
      </c>
    </row>
    <row r="77" spans="1:21" x14ac:dyDescent="0.2">
      <c r="A77" s="56">
        <v>74</v>
      </c>
      <c r="B77" s="59">
        <v>169</v>
      </c>
      <c r="C77" s="6">
        <v>0.05</v>
      </c>
      <c r="D77" s="6">
        <v>0.08</v>
      </c>
      <c r="E77" s="6">
        <v>185</v>
      </c>
      <c r="F77" s="6">
        <v>0.06</v>
      </c>
      <c r="G77" s="58">
        <v>0.15</v>
      </c>
      <c r="H77" s="59">
        <v>92</v>
      </c>
      <c r="I77" s="6">
        <v>0.56999999999999995</v>
      </c>
      <c r="J77" s="6">
        <v>1.96</v>
      </c>
      <c r="K77" s="58">
        <v>1.08</v>
      </c>
      <c r="L77" s="59">
        <v>25</v>
      </c>
      <c r="M77" s="6">
        <v>1.1399999999999999</v>
      </c>
      <c r="N77" s="6">
        <v>87</v>
      </c>
      <c r="O77" s="6">
        <v>78</v>
      </c>
      <c r="P77" s="6">
        <v>36</v>
      </c>
      <c r="Q77" s="58">
        <v>31</v>
      </c>
      <c r="R77" s="70">
        <v>0.98</v>
      </c>
      <c r="S77" s="14">
        <v>0.11</v>
      </c>
      <c r="T77" s="14">
        <v>0.52</v>
      </c>
      <c r="U77" s="71">
        <v>0.15</v>
      </c>
    </row>
    <row r="78" spans="1:21" x14ac:dyDescent="0.2">
      <c r="A78" s="56">
        <v>75</v>
      </c>
      <c r="B78" s="59">
        <v>23</v>
      </c>
      <c r="C78" s="6">
        <v>1.43</v>
      </c>
      <c r="D78" s="6">
        <v>0.05</v>
      </c>
      <c r="E78" s="6">
        <v>24</v>
      </c>
      <c r="F78" s="6">
        <v>0.52</v>
      </c>
      <c r="G78" s="58">
        <v>0.12</v>
      </c>
      <c r="H78" s="59">
        <v>76</v>
      </c>
      <c r="I78" s="6">
        <v>1.0900000000000001</v>
      </c>
      <c r="J78" s="6">
        <v>2.58</v>
      </c>
      <c r="K78" s="58">
        <v>2.31</v>
      </c>
      <c r="L78" s="59">
        <v>26</v>
      </c>
      <c r="M78" s="6">
        <v>1.79</v>
      </c>
      <c r="N78" s="6">
        <v>76</v>
      </c>
      <c r="O78" s="6">
        <v>64</v>
      </c>
      <c r="P78" s="6">
        <v>36</v>
      </c>
      <c r="Q78" s="58">
        <v>31</v>
      </c>
      <c r="R78" s="70">
        <v>0.98</v>
      </c>
      <c r="S78" s="14">
        <v>0.28999999999999998</v>
      </c>
      <c r="T78" s="14">
        <v>0.64</v>
      </c>
      <c r="U78" s="71">
        <v>0.15</v>
      </c>
    </row>
    <row r="79" spans="1:21" x14ac:dyDescent="0.2">
      <c r="A79" s="56">
        <v>76</v>
      </c>
      <c r="B79" s="59">
        <v>23</v>
      </c>
      <c r="C79" s="6">
        <v>2.2000000000000002</v>
      </c>
      <c r="D79" s="6">
        <v>0.24</v>
      </c>
      <c r="E79" s="6">
        <v>24</v>
      </c>
      <c r="F79" s="6">
        <v>1.48</v>
      </c>
      <c r="G79" s="58">
        <v>0.47</v>
      </c>
      <c r="H79" s="59">
        <v>171</v>
      </c>
      <c r="I79" s="6">
        <v>1.7</v>
      </c>
      <c r="J79" s="6">
        <v>3.2</v>
      </c>
      <c r="K79" s="58">
        <v>2.5</v>
      </c>
      <c r="L79" s="59">
        <v>26</v>
      </c>
      <c r="M79" s="6">
        <v>2.2000000000000002</v>
      </c>
      <c r="N79" s="6">
        <v>164</v>
      </c>
      <c r="O79" s="6">
        <v>172</v>
      </c>
      <c r="P79" s="6">
        <v>36</v>
      </c>
      <c r="Q79" s="58">
        <v>31</v>
      </c>
      <c r="R79" s="70">
        <v>0.98</v>
      </c>
      <c r="S79" s="14">
        <v>0.47</v>
      </c>
      <c r="T79" s="14">
        <v>0.68</v>
      </c>
      <c r="U79" s="71">
        <v>0.26</v>
      </c>
    </row>
    <row r="80" spans="1:21" x14ac:dyDescent="0.2">
      <c r="A80" s="56">
        <v>77</v>
      </c>
      <c r="B80" s="59">
        <v>21</v>
      </c>
      <c r="C80" s="6">
        <v>0.94</v>
      </c>
      <c r="D80" s="6">
        <v>0.01</v>
      </c>
      <c r="E80" s="6">
        <v>21</v>
      </c>
      <c r="F80" s="6">
        <v>0.27</v>
      </c>
      <c r="G80" s="58">
        <v>0.03</v>
      </c>
      <c r="H80" s="59">
        <v>1.4</v>
      </c>
      <c r="I80" s="6">
        <v>1.05</v>
      </c>
      <c r="J80" s="6">
        <v>0.72</v>
      </c>
      <c r="K80" s="58">
        <v>1.2</v>
      </c>
      <c r="L80" s="59">
        <v>25</v>
      </c>
      <c r="M80" s="6">
        <v>1.07</v>
      </c>
      <c r="N80" s="6">
        <v>27</v>
      </c>
      <c r="O80" s="6">
        <v>2.2000000000000002</v>
      </c>
      <c r="P80" s="6">
        <v>36</v>
      </c>
      <c r="Q80" s="58">
        <v>31</v>
      </c>
      <c r="R80" s="70">
        <v>0.61</v>
      </c>
      <c r="S80" s="14">
        <v>0.19</v>
      </c>
      <c r="T80" s="14">
        <v>0.3</v>
      </c>
      <c r="U80" s="71">
        <v>0.1</v>
      </c>
    </row>
    <row r="81" spans="1:21" x14ac:dyDescent="0.2">
      <c r="A81" s="56">
        <v>78</v>
      </c>
      <c r="B81" s="59">
        <v>34</v>
      </c>
      <c r="C81" s="6">
        <v>0.68</v>
      </c>
      <c r="D81" s="6">
        <v>0.08</v>
      </c>
      <c r="E81" s="6">
        <v>104</v>
      </c>
      <c r="F81" s="6">
        <v>0.2</v>
      </c>
      <c r="G81" s="58">
        <v>0.13</v>
      </c>
      <c r="H81" s="59">
        <v>1.1000000000000001</v>
      </c>
      <c r="I81" s="6">
        <v>1</v>
      </c>
      <c r="J81" s="6">
        <v>0.92</v>
      </c>
      <c r="K81" s="58">
        <v>1.7</v>
      </c>
      <c r="L81" s="59">
        <v>26</v>
      </c>
      <c r="M81" s="6">
        <v>1.8</v>
      </c>
      <c r="N81" s="6">
        <v>27</v>
      </c>
      <c r="O81" s="6">
        <v>1.5</v>
      </c>
      <c r="P81" s="6">
        <v>36</v>
      </c>
      <c r="Q81" s="58">
        <v>31</v>
      </c>
      <c r="R81" s="70">
        <v>0.51</v>
      </c>
      <c r="S81" s="14">
        <v>0.18</v>
      </c>
      <c r="T81" s="14">
        <v>0.33</v>
      </c>
      <c r="U81" s="71">
        <v>0.14000000000000001</v>
      </c>
    </row>
    <row r="82" spans="1:21" x14ac:dyDescent="0.2">
      <c r="A82" s="56">
        <v>79</v>
      </c>
      <c r="B82" s="59">
        <v>23</v>
      </c>
      <c r="C82" s="6">
        <v>1.3</v>
      </c>
      <c r="D82" s="6">
        <v>0.06</v>
      </c>
      <c r="E82" s="6">
        <v>22</v>
      </c>
      <c r="F82" s="6">
        <v>0.5</v>
      </c>
      <c r="G82" s="58">
        <v>0.12</v>
      </c>
      <c r="H82" s="59">
        <v>1.4</v>
      </c>
      <c r="I82" s="6">
        <v>1.65</v>
      </c>
      <c r="J82" s="6">
        <v>1.3</v>
      </c>
      <c r="K82" s="58">
        <v>2.9</v>
      </c>
      <c r="L82" s="59">
        <v>26</v>
      </c>
      <c r="M82" s="6">
        <v>2.7</v>
      </c>
      <c r="N82" s="6">
        <v>27</v>
      </c>
      <c r="O82" s="6">
        <v>2.2000000000000002</v>
      </c>
      <c r="P82" s="6">
        <v>36</v>
      </c>
      <c r="Q82" s="58">
        <v>31</v>
      </c>
      <c r="R82" s="70">
        <v>0.56000000000000005</v>
      </c>
      <c r="S82" s="14">
        <v>0.25</v>
      </c>
      <c r="T82" s="14">
        <v>0.35</v>
      </c>
      <c r="U82" s="71">
        <v>0.14000000000000001</v>
      </c>
    </row>
    <row r="83" spans="1:21" x14ac:dyDescent="0.2">
      <c r="A83" s="56">
        <v>80</v>
      </c>
      <c r="B83" s="59">
        <v>22</v>
      </c>
      <c r="C83" s="6">
        <v>1.8</v>
      </c>
      <c r="D83" s="6">
        <v>0.14000000000000001</v>
      </c>
      <c r="E83" s="6">
        <v>23</v>
      </c>
      <c r="F83" s="6">
        <v>1.3</v>
      </c>
      <c r="G83" s="58">
        <v>0.36</v>
      </c>
      <c r="H83" s="59">
        <v>113</v>
      </c>
      <c r="I83" s="6">
        <v>0.75</v>
      </c>
      <c r="J83" s="6">
        <v>5</v>
      </c>
      <c r="K83" s="58">
        <v>2.1</v>
      </c>
      <c r="L83" s="59">
        <v>26</v>
      </c>
      <c r="M83" s="6">
        <v>2.8</v>
      </c>
      <c r="N83" s="6">
        <v>113</v>
      </c>
      <c r="O83" s="6">
        <v>112</v>
      </c>
      <c r="P83" s="6">
        <v>36</v>
      </c>
      <c r="Q83" s="58">
        <v>31</v>
      </c>
      <c r="R83" s="70">
        <v>0.98</v>
      </c>
      <c r="S83" s="14">
        <v>0.48</v>
      </c>
      <c r="T83" s="14">
        <v>0.89</v>
      </c>
      <c r="U83" s="71">
        <v>0.26</v>
      </c>
    </row>
    <row r="84" spans="1:21" x14ac:dyDescent="0.2">
      <c r="A84" s="56">
        <v>81</v>
      </c>
      <c r="B84" s="59">
        <v>22</v>
      </c>
      <c r="C84" s="6">
        <v>1.6</v>
      </c>
      <c r="D84" s="6">
        <v>0.12</v>
      </c>
      <c r="E84" s="6">
        <v>22</v>
      </c>
      <c r="F84" s="6">
        <v>0.81</v>
      </c>
      <c r="G84" s="58">
        <v>0.19</v>
      </c>
      <c r="H84" s="59">
        <v>34</v>
      </c>
      <c r="I84" s="6">
        <v>1.9</v>
      </c>
      <c r="J84" s="6">
        <v>2.9</v>
      </c>
      <c r="K84" s="58">
        <v>2.7</v>
      </c>
      <c r="L84" s="59">
        <v>26</v>
      </c>
      <c r="M84" s="6">
        <v>2.7</v>
      </c>
      <c r="N84" s="6">
        <v>49</v>
      </c>
      <c r="O84" s="6">
        <v>31</v>
      </c>
      <c r="P84" s="6">
        <v>36</v>
      </c>
      <c r="Q84" s="58">
        <v>31</v>
      </c>
      <c r="R84" s="70">
        <v>0.98</v>
      </c>
      <c r="S84" s="14">
        <v>0.28999999999999998</v>
      </c>
      <c r="T84" s="14">
        <v>0.63</v>
      </c>
      <c r="U84" s="71">
        <v>0.17</v>
      </c>
    </row>
    <row r="85" spans="1:21" x14ac:dyDescent="0.2">
      <c r="A85" s="56">
        <v>82</v>
      </c>
      <c r="B85" s="59">
        <v>102</v>
      </c>
      <c r="C85" s="6">
        <v>0.19</v>
      </c>
      <c r="D85" s="6">
        <v>0.03</v>
      </c>
      <c r="E85" s="6">
        <v>152</v>
      </c>
      <c r="F85" s="6">
        <v>0.05</v>
      </c>
      <c r="G85" s="58">
        <v>0.08</v>
      </c>
      <c r="H85" s="59">
        <v>102</v>
      </c>
      <c r="I85" s="6">
        <v>1.1299999999999999</v>
      </c>
      <c r="J85" s="6">
        <v>2</v>
      </c>
      <c r="K85" s="58">
        <v>1.95</v>
      </c>
      <c r="L85" s="59">
        <v>25</v>
      </c>
      <c r="M85" s="6">
        <v>1.4</v>
      </c>
      <c r="N85" s="6">
        <v>99</v>
      </c>
      <c r="O85" s="6">
        <v>93</v>
      </c>
      <c r="P85" s="6">
        <v>36</v>
      </c>
      <c r="Q85" s="58">
        <v>31</v>
      </c>
      <c r="R85" s="70">
        <v>0.98</v>
      </c>
      <c r="S85" s="14">
        <v>0.13</v>
      </c>
      <c r="T85" s="14">
        <v>0.53</v>
      </c>
      <c r="U85" s="71">
        <v>0.13</v>
      </c>
    </row>
    <row r="86" spans="1:21" x14ac:dyDescent="0.2">
      <c r="A86" s="56">
        <v>83</v>
      </c>
      <c r="B86" s="59">
        <v>24</v>
      </c>
      <c r="C86" s="6">
        <v>0.89</v>
      </c>
      <c r="D86" s="6">
        <v>0.02</v>
      </c>
      <c r="E86" s="6">
        <v>27</v>
      </c>
      <c r="F86" s="6">
        <v>0.37</v>
      </c>
      <c r="G86" s="58">
        <v>0.08</v>
      </c>
      <c r="H86" s="59">
        <v>61</v>
      </c>
      <c r="I86" s="6">
        <v>1.3</v>
      </c>
      <c r="J86" s="6">
        <v>2.2999999999999998</v>
      </c>
      <c r="K86" s="58">
        <v>1.59</v>
      </c>
      <c r="L86" s="59">
        <v>26</v>
      </c>
      <c r="M86" s="6">
        <v>2.1</v>
      </c>
      <c r="N86" s="6">
        <v>73</v>
      </c>
      <c r="O86" s="6">
        <v>60</v>
      </c>
      <c r="P86" s="6">
        <v>36</v>
      </c>
      <c r="Q86" s="58">
        <v>31</v>
      </c>
      <c r="R86" s="70">
        <v>0.98</v>
      </c>
      <c r="S86" s="14">
        <v>0.27</v>
      </c>
      <c r="T86" s="14">
        <v>0.61</v>
      </c>
      <c r="U86" s="71">
        <v>0.15</v>
      </c>
    </row>
    <row r="87" spans="1:21" x14ac:dyDescent="0.2">
      <c r="A87" s="56">
        <v>84</v>
      </c>
      <c r="B87" s="59">
        <v>23</v>
      </c>
      <c r="C87" s="6">
        <v>1.0900000000000001</v>
      </c>
      <c r="D87" s="6">
        <v>0.08</v>
      </c>
      <c r="E87" s="6">
        <v>25</v>
      </c>
      <c r="F87" s="6">
        <v>0.57999999999999996</v>
      </c>
      <c r="G87" s="58">
        <v>0.17</v>
      </c>
      <c r="H87" s="59">
        <v>125</v>
      </c>
      <c r="I87" s="6">
        <v>3.4</v>
      </c>
      <c r="J87" s="6">
        <v>4</v>
      </c>
      <c r="K87" s="58">
        <v>3</v>
      </c>
      <c r="L87" s="59">
        <v>26</v>
      </c>
      <c r="M87" s="6">
        <v>2.5</v>
      </c>
      <c r="N87" s="6">
        <v>119</v>
      </c>
      <c r="O87" s="6">
        <v>117</v>
      </c>
      <c r="P87" s="6">
        <v>36</v>
      </c>
      <c r="Q87" s="58">
        <v>31</v>
      </c>
      <c r="R87" s="70">
        <v>0.98</v>
      </c>
      <c r="S87" s="14">
        <v>0.3</v>
      </c>
      <c r="T87" s="14">
        <v>0.75</v>
      </c>
      <c r="U87" s="71">
        <v>0.17</v>
      </c>
    </row>
    <row r="88" spans="1:21" x14ac:dyDescent="0.2">
      <c r="A88" s="56">
        <v>85</v>
      </c>
      <c r="B88" s="59">
        <v>22</v>
      </c>
      <c r="C88" s="6">
        <v>1.1000000000000001</v>
      </c>
      <c r="D88" s="6">
        <v>0.02</v>
      </c>
      <c r="E88" s="6">
        <v>21</v>
      </c>
      <c r="F88" s="6">
        <v>0.3</v>
      </c>
      <c r="G88" s="58">
        <v>0.05</v>
      </c>
      <c r="H88" s="59">
        <v>1.9</v>
      </c>
      <c r="I88" s="6">
        <v>0.36</v>
      </c>
      <c r="J88" s="6">
        <v>1.2</v>
      </c>
      <c r="K88" s="58">
        <v>1</v>
      </c>
      <c r="L88" s="59">
        <v>25</v>
      </c>
      <c r="M88" s="6">
        <v>0.97</v>
      </c>
      <c r="N88" s="6">
        <v>27</v>
      </c>
      <c r="O88" s="6">
        <v>3</v>
      </c>
      <c r="P88" s="6">
        <v>36</v>
      </c>
      <c r="Q88" s="58">
        <v>31</v>
      </c>
      <c r="R88" s="70">
        <v>0.76</v>
      </c>
      <c r="S88" s="14">
        <v>0.2</v>
      </c>
      <c r="T88" s="14">
        <v>0.39</v>
      </c>
      <c r="U88" s="71">
        <v>0.11</v>
      </c>
    </row>
    <row r="89" spans="1:21" x14ac:dyDescent="0.2">
      <c r="A89" s="56">
        <v>86</v>
      </c>
      <c r="B89" s="59">
        <v>24</v>
      </c>
      <c r="C89" s="6">
        <v>0.43</v>
      </c>
      <c r="D89" s="6">
        <v>0.04</v>
      </c>
      <c r="E89" s="6">
        <v>64</v>
      </c>
      <c r="F89" s="6">
        <v>0.32</v>
      </c>
      <c r="G89" s="58">
        <v>0.11</v>
      </c>
      <c r="H89" s="59">
        <v>1</v>
      </c>
      <c r="I89" s="6">
        <v>3</v>
      </c>
      <c r="J89" s="6">
        <v>0.96</v>
      </c>
      <c r="K89" s="58">
        <v>3.3</v>
      </c>
      <c r="L89" s="59">
        <v>26</v>
      </c>
      <c r="M89" s="6">
        <v>2.6</v>
      </c>
      <c r="N89" s="6">
        <v>27</v>
      </c>
      <c r="O89" s="6">
        <v>2</v>
      </c>
      <c r="P89" s="6">
        <v>36</v>
      </c>
      <c r="Q89" s="58">
        <v>31</v>
      </c>
      <c r="R89" s="70">
        <v>0.51</v>
      </c>
      <c r="S89" s="14">
        <v>0.26</v>
      </c>
      <c r="T89" s="14">
        <v>0.34</v>
      </c>
      <c r="U89" s="71">
        <v>0.17</v>
      </c>
    </row>
    <row r="90" spans="1:21" x14ac:dyDescent="0.2">
      <c r="A90" s="56">
        <v>87</v>
      </c>
      <c r="B90" s="59">
        <v>23</v>
      </c>
      <c r="C90" s="6">
        <v>0.87</v>
      </c>
      <c r="D90" s="6">
        <v>0.04</v>
      </c>
      <c r="E90" s="6">
        <v>26</v>
      </c>
      <c r="F90" s="6">
        <v>0.55000000000000004</v>
      </c>
      <c r="G90" s="58">
        <v>0.08</v>
      </c>
      <c r="H90" s="59">
        <v>2.4</v>
      </c>
      <c r="I90" s="6">
        <v>0.96</v>
      </c>
      <c r="J90" s="6">
        <v>1.4</v>
      </c>
      <c r="K90" s="58">
        <v>1.96</v>
      </c>
      <c r="L90" s="59">
        <v>26</v>
      </c>
      <c r="M90" s="6">
        <v>2.44</v>
      </c>
      <c r="N90" s="6">
        <v>28</v>
      </c>
      <c r="O90" s="6">
        <v>3.2</v>
      </c>
      <c r="P90" s="6">
        <v>35</v>
      </c>
      <c r="Q90" s="58">
        <v>31</v>
      </c>
      <c r="R90" s="70">
        <v>0.82</v>
      </c>
      <c r="S90" s="14">
        <v>0.28000000000000003</v>
      </c>
      <c r="T90" s="14">
        <v>0.38</v>
      </c>
      <c r="U90" s="71">
        <v>0.16</v>
      </c>
    </row>
    <row r="91" spans="1:21" x14ac:dyDescent="0.2">
      <c r="A91" s="56">
        <v>88</v>
      </c>
      <c r="B91" s="59">
        <v>22</v>
      </c>
      <c r="C91" s="6">
        <v>1</v>
      </c>
      <c r="D91" s="6">
        <v>0.05</v>
      </c>
      <c r="E91" s="6">
        <v>23</v>
      </c>
      <c r="F91" s="6">
        <v>0.48</v>
      </c>
      <c r="G91" s="58">
        <v>0.11</v>
      </c>
      <c r="H91" s="59">
        <v>185</v>
      </c>
      <c r="I91" s="6">
        <v>4</v>
      </c>
      <c r="J91" s="6">
        <v>51</v>
      </c>
      <c r="K91" s="58">
        <v>5</v>
      </c>
      <c r="L91" s="59">
        <v>26</v>
      </c>
      <c r="M91" s="6">
        <v>4</v>
      </c>
      <c r="N91" s="6">
        <v>162</v>
      </c>
      <c r="O91" s="6">
        <v>202</v>
      </c>
      <c r="P91" s="6">
        <v>36</v>
      </c>
      <c r="Q91" s="58">
        <v>31</v>
      </c>
      <c r="R91" s="70">
        <v>0.98</v>
      </c>
      <c r="S91" s="14">
        <v>0.27</v>
      </c>
      <c r="T91" s="14">
        <v>0.97</v>
      </c>
      <c r="U91" s="71">
        <v>0.15</v>
      </c>
    </row>
    <row r="92" spans="1:21" x14ac:dyDescent="0.2">
      <c r="A92" s="56">
        <v>89</v>
      </c>
      <c r="B92" s="59">
        <v>22</v>
      </c>
      <c r="C92" s="6">
        <v>0.6</v>
      </c>
      <c r="D92" s="6">
        <v>5.0000000000000001E-3</v>
      </c>
      <c r="E92" s="6">
        <v>22</v>
      </c>
      <c r="F92" s="6">
        <v>0.17</v>
      </c>
      <c r="G92" s="58">
        <v>0.01</v>
      </c>
      <c r="H92" s="59">
        <v>3</v>
      </c>
      <c r="I92" s="6">
        <v>0.49</v>
      </c>
      <c r="J92" s="6">
        <v>2.2000000000000002</v>
      </c>
      <c r="K92" s="58">
        <v>1.6</v>
      </c>
      <c r="L92" s="59">
        <v>26</v>
      </c>
      <c r="M92" s="6">
        <v>1.68</v>
      </c>
      <c r="N92" s="6">
        <v>28</v>
      </c>
      <c r="O92" s="6">
        <v>4</v>
      </c>
      <c r="P92" s="6">
        <v>35</v>
      </c>
      <c r="Q92" s="58">
        <v>31</v>
      </c>
      <c r="R92" s="70">
        <v>0.92</v>
      </c>
      <c r="S92" s="14">
        <v>0.14000000000000001</v>
      </c>
      <c r="T92" s="14">
        <v>0.56000000000000005</v>
      </c>
      <c r="U92" s="71">
        <v>7.0000000000000007E-2</v>
      </c>
    </row>
    <row r="93" spans="1:21" x14ac:dyDescent="0.2">
      <c r="A93" s="56">
        <v>90</v>
      </c>
      <c r="B93" s="59">
        <v>115</v>
      </c>
      <c r="C93" s="6">
        <v>0.15</v>
      </c>
      <c r="D93" s="6">
        <v>0.02</v>
      </c>
      <c r="E93" s="6">
        <v>158</v>
      </c>
      <c r="F93" s="6">
        <v>0.03</v>
      </c>
      <c r="G93" s="58">
        <v>0.06</v>
      </c>
      <c r="H93" s="59">
        <v>44</v>
      </c>
      <c r="I93" s="6">
        <v>0.49</v>
      </c>
      <c r="J93" s="6">
        <v>1.1000000000000001</v>
      </c>
      <c r="K93" s="58">
        <v>0.95</v>
      </c>
      <c r="L93" s="59">
        <v>25</v>
      </c>
      <c r="M93" s="6">
        <v>0.99</v>
      </c>
      <c r="N93" s="6">
        <v>56</v>
      </c>
      <c r="O93" s="6">
        <v>38</v>
      </c>
      <c r="P93" s="6">
        <v>36</v>
      </c>
      <c r="Q93" s="58">
        <v>31</v>
      </c>
      <c r="R93" s="70">
        <v>0.98</v>
      </c>
      <c r="S93" s="14">
        <v>0.12</v>
      </c>
      <c r="T93" s="14">
        <v>0.4</v>
      </c>
      <c r="U93" s="71">
        <v>0.13</v>
      </c>
    </row>
    <row r="94" spans="1:21" x14ac:dyDescent="0.2">
      <c r="A94" s="56">
        <v>91</v>
      </c>
      <c r="B94" s="59">
        <v>28</v>
      </c>
      <c r="C94" s="6">
        <v>0.41</v>
      </c>
      <c r="D94" s="6">
        <v>6.0000000000000001E-3</v>
      </c>
      <c r="E94" s="6">
        <v>100</v>
      </c>
      <c r="F94" s="6">
        <v>0.11</v>
      </c>
      <c r="G94" s="58">
        <v>0.03</v>
      </c>
      <c r="H94" s="59">
        <v>127</v>
      </c>
      <c r="I94" s="6">
        <v>2.1</v>
      </c>
      <c r="J94" s="6">
        <v>2.2999999999999998</v>
      </c>
      <c r="K94" s="58">
        <v>2.2000000000000002</v>
      </c>
      <c r="L94" s="59">
        <v>26</v>
      </c>
      <c r="M94" s="6">
        <v>2.2999999999999998</v>
      </c>
      <c r="N94" s="6">
        <v>115</v>
      </c>
      <c r="O94" s="6">
        <v>116</v>
      </c>
      <c r="P94" s="6">
        <v>35</v>
      </c>
      <c r="Q94" s="58">
        <v>32</v>
      </c>
      <c r="R94" s="70">
        <v>0.98</v>
      </c>
      <c r="S94" s="14">
        <v>0.18</v>
      </c>
      <c r="T94" s="14">
        <v>0.57999999999999996</v>
      </c>
      <c r="U94" s="71">
        <v>0.13</v>
      </c>
    </row>
    <row r="95" spans="1:21" x14ac:dyDescent="0.2">
      <c r="A95" s="56">
        <v>92</v>
      </c>
      <c r="B95" s="59">
        <v>22</v>
      </c>
      <c r="C95" s="6">
        <v>1.77</v>
      </c>
      <c r="D95" s="6">
        <v>0.12</v>
      </c>
      <c r="E95" s="6">
        <v>22</v>
      </c>
      <c r="F95" s="6">
        <v>0.97</v>
      </c>
      <c r="G95" s="58">
        <v>0.24</v>
      </c>
      <c r="H95" s="59">
        <v>137</v>
      </c>
      <c r="I95" s="6">
        <v>1.63</v>
      </c>
      <c r="J95" s="6">
        <v>4</v>
      </c>
      <c r="K95" s="58">
        <v>2.4</v>
      </c>
      <c r="L95" s="59">
        <v>26</v>
      </c>
      <c r="M95" s="6">
        <v>2.2000000000000002</v>
      </c>
      <c r="N95" s="6">
        <v>128</v>
      </c>
      <c r="O95" s="6">
        <v>130</v>
      </c>
      <c r="P95" s="6">
        <v>36</v>
      </c>
      <c r="Q95" s="58">
        <v>31</v>
      </c>
      <c r="R95" s="70">
        <v>0.98</v>
      </c>
      <c r="S95" s="14">
        <v>0.37</v>
      </c>
      <c r="T95" s="14">
        <v>0.76</v>
      </c>
      <c r="U95" s="71">
        <v>0.2</v>
      </c>
    </row>
    <row r="96" spans="1:21" x14ac:dyDescent="0.2">
      <c r="A96" s="56">
        <v>93</v>
      </c>
      <c r="B96" s="59">
        <v>21</v>
      </c>
      <c r="C96" s="6">
        <v>0.92</v>
      </c>
      <c r="D96" s="6">
        <v>4.0000000000000001E-3</v>
      </c>
      <c r="E96" s="6">
        <v>21</v>
      </c>
      <c r="F96" s="6">
        <v>0.18</v>
      </c>
      <c r="G96" s="58">
        <v>0.01</v>
      </c>
      <c r="H96" s="59">
        <v>2</v>
      </c>
      <c r="I96" s="6">
        <v>0.76</v>
      </c>
      <c r="J96" s="6">
        <v>1.1000000000000001</v>
      </c>
      <c r="K96" s="58">
        <v>1.1000000000000001</v>
      </c>
      <c r="L96" s="59">
        <v>25</v>
      </c>
      <c r="M96" s="6">
        <v>1.2</v>
      </c>
      <c r="N96" s="6">
        <v>27</v>
      </c>
      <c r="O96" s="6">
        <v>3.1</v>
      </c>
      <c r="P96" s="6">
        <v>35</v>
      </c>
      <c r="Q96" s="58">
        <v>31</v>
      </c>
      <c r="R96" s="70">
        <v>0.8</v>
      </c>
      <c r="S96" s="14">
        <v>0.16</v>
      </c>
      <c r="T96" s="14">
        <v>0.4</v>
      </c>
      <c r="U96" s="71">
        <v>0.09</v>
      </c>
    </row>
    <row r="97" spans="1:21" x14ac:dyDescent="0.2">
      <c r="A97" s="56">
        <v>94</v>
      </c>
      <c r="B97" s="59">
        <v>87</v>
      </c>
      <c r="C97" s="6">
        <v>0.5</v>
      </c>
      <c r="D97" s="6">
        <v>0.08</v>
      </c>
      <c r="E97" s="6">
        <v>142</v>
      </c>
      <c r="F97" s="6">
        <v>0.21</v>
      </c>
      <c r="G97" s="58">
        <v>0.23</v>
      </c>
      <c r="H97" s="59">
        <v>1.6</v>
      </c>
      <c r="I97" s="6">
        <v>1.4</v>
      </c>
      <c r="J97" s="6">
        <v>1.5</v>
      </c>
      <c r="K97" s="58">
        <v>2.2999999999999998</v>
      </c>
      <c r="L97" s="59">
        <v>26</v>
      </c>
      <c r="M97" s="6">
        <v>2</v>
      </c>
      <c r="N97" s="6">
        <v>27</v>
      </c>
      <c r="O97" s="6">
        <v>2.6</v>
      </c>
      <c r="P97" s="6">
        <v>36</v>
      </c>
      <c r="Q97" s="58">
        <v>31</v>
      </c>
      <c r="R97" s="70">
        <v>0.72</v>
      </c>
      <c r="S97" s="14">
        <v>0.24</v>
      </c>
      <c r="T97" s="14">
        <v>0.44</v>
      </c>
      <c r="U97" s="71">
        <v>0.23</v>
      </c>
    </row>
    <row r="98" spans="1:21" x14ac:dyDescent="0.2">
      <c r="A98" s="56">
        <v>95</v>
      </c>
      <c r="B98" s="59">
        <v>26</v>
      </c>
      <c r="C98" s="6">
        <v>0.63</v>
      </c>
      <c r="D98" s="6">
        <v>0.01</v>
      </c>
      <c r="E98" s="6">
        <v>93</v>
      </c>
      <c r="F98" s="6">
        <v>0.21</v>
      </c>
      <c r="G98" s="58">
        <v>0.09</v>
      </c>
      <c r="H98" s="59">
        <v>2.2999999999999998</v>
      </c>
      <c r="I98" s="6">
        <v>1.8</v>
      </c>
      <c r="J98" s="6">
        <v>2.2999999999999998</v>
      </c>
      <c r="K98" s="58">
        <v>2.7</v>
      </c>
      <c r="L98" s="59">
        <v>26</v>
      </c>
      <c r="M98" s="6">
        <v>3</v>
      </c>
      <c r="N98" s="6">
        <v>28</v>
      </c>
      <c r="O98" s="6">
        <v>3.3</v>
      </c>
      <c r="P98" s="6">
        <v>35</v>
      </c>
      <c r="Q98" s="58">
        <v>31</v>
      </c>
      <c r="R98" s="70">
        <v>0.82</v>
      </c>
      <c r="S98" s="14">
        <v>0.19</v>
      </c>
      <c r="T98" s="14">
        <v>0.54</v>
      </c>
      <c r="U98" s="71">
        <v>0.14000000000000001</v>
      </c>
    </row>
    <row r="99" spans="1:21" x14ac:dyDescent="0.2">
      <c r="A99" s="56">
        <v>96</v>
      </c>
      <c r="B99" s="59">
        <v>23</v>
      </c>
      <c r="C99" s="6">
        <v>0.82</v>
      </c>
      <c r="D99" s="6">
        <v>0.03</v>
      </c>
      <c r="E99" s="6">
        <v>24</v>
      </c>
      <c r="F99" s="6">
        <v>0.44</v>
      </c>
      <c r="G99" s="58">
        <v>0.12</v>
      </c>
      <c r="H99" s="59">
        <v>94</v>
      </c>
      <c r="I99" s="6">
        <v>0.32</v>
      </c>
      <c r="J99" s="6">
        <v>5</v>
      </c>
      <c r="K99" s="58">
        <v>1.8</v>
      </c>
      <c r="L99" s="59">
        <v>26</v>
      </c>
      <c r="M99" s="6">
        <v>1.76</v>
      </c>
      <c r="N99" s="6">
        <v>98</v>
      </c>
      <c r="O99" s="6">
        <v>94</v>
      </c>
      <c r="P99" s="6">
        <v>36</v>
      </c>
      <c r="Q99" s="58">
        <v>31</v>
      </c>
      <c r="R99" s="70">
        <v>0.98</v>
      </c>
      <c r="S99" s="14">
        <v>0.28999999999999998</v>
      </c>
      <c r="T99" s="14">
        <v>0.86</v>
      </c>
      <c r="U99" s="71">
        <v>0.16</v>
      </c>
    </row>
    <row r="100" spans="1:21" x14ac:dyDescent="0.2">
      <c r="A100" s="56">
        <v>97</v>
      </c>
      <c r="B100" s="59">
        <v>22</v>
      </c>
      <c r="C100" s="6">
        <v>1</v>
      </c>
      <c r="D100" s="6">
        <v>0.03</v>
      </c>
      <c r="E100" s="6">
        <v>21</v>
      </c>
      <c r="F100" s="6">
        <v>0.33</v>
      </c>
      <c r="G100" s="58">
        <v>0.06</v>
      </c>
      <c r="H100" s="59">
        <v>33</v>
      </c>
      <c r="I100" s="6">
        <v>1.3</v>
      </c>
      <c r="J100" s="6">
        <v>1.9</v>
      </c>
      <c r="K100" s="58">
        <v>1.9</v>
      </c>
      <c r="L100" s="59">
        <v>26</v>
      </c>
      <c r="M100" s="6">
        <v>2</v>
      </c>
      <c r="N100" s="6">
        <v>50</v>
      </c>
      <c r="O100" s="6">
        <v>31</v>
      </c>
      <c r="P100" s="6">
        <v>36</v>
      </c>
      <c r="Q100" s="58">
        <v>31</v>
      </c>
      <c r="R100" s="70">
        <v>0.98</v>
      </c>
      <c r="S100" s="14">
        <v>0.2</v>
      </c>
      <c r="T100" s="14">
        <v>0.52</v>
      </c>
      <c r="U100" s="71">
        <v>0.11</v>
      </c>
    </row>
    <row r="101" spans="1:21" x14ac:dyDescent="0.2">
      <c r="A101" s="56">
        <v>98</v>
      </c>
      <c r="B101" s="59">
        <v>23</v>
      </c>
      <c r="C101" s="6">
        <v>0.9</v>
      </c>
      <c r="D101" s="6">
        <v>0.05</v>
      </c>
      <c r="E101" s="6">
        <v>25</v>
      </c>
      <c r="F101" s="6">
        <v>0.38</v>
      </c>
      <c r="G101" s="58">
        <v>0.1</v>
      </c>
      <c r="H101" s="59">
        <v>60</v>
      </c>
      <c r="I101" s="6">
        <v>1.6</v>
      </c>
      <c r="J101" s="6">
        <v>3.1</v>
      </c>
      <c r="K101" s="58">
        <v>1.9</v>
      </c>
      <c r="L101" s="59">
        <v>26</v>
      </c>
      <c r="M101" s="6">
        <v>2</v>
      </c>
      <c r="N101" s="6">
        <v>70</v>
      </c>
      <c r="O101" s="6">
        <v>56</v>
      </c>
      <c r="P101" s="6">
        <v>36</v>
      </c>
      <c r="Q101" s="58">
        <v>31</v>
      </c>
      <c r="R101" s="70">
        <v>0.98</v>
      </c>
      <c r="S101" s="14">
        <v>0.23</v>
      </c>
      <c r="T101" s="14">
        <v>0.68</v>
      </c>
      <c r="U101" s="71">
        <v>0.13</v>
      </c>
    </row>
    <row r="102" spans="1:21" x14ac:dyDescent="0.2">
      <c r="A102" s="56">
        <v>99</v>
      </c>
      <c r="B102" s="59">
        <v>21</v>
      </c>
      <c r="C102" s="6">
        <v>1</v>
      </c>
      <c r="D102" s="6">
        <v>8.9999999999999993E-3</v>
      </c>
      <c r="E102" s="6">
        <v>21</v>
      </c>
      <c r="F102" s="6">
        <v>0.37</v>
      </c>
      <c r="G102" s="58">
        <v>0.03</v>
      </c>
      <c r="H102" s="59">
        <v>7</v>
      </c>
      <c r="I102" s="6">
        <v>0.23</v>
      </c>
      <c r="J102" s="6">
        <v>2.5</v>
      </c>
      <c r="K102" s="58">
        <v>0.95</v>
      </c>
      <c r="L102" s="59">
        <v>26</v>
      </c>
      <c r="M102" s="6">
        <v>1.1000000000000001</v>
      </c>
      <c r="N102" s="6">
        <v>32</v>
      </c>
      <c r="O102" s="6">
        <v>8</v>
      </c>
      <c r="P102" s="6">
        <v>36</v>
      </c>
      <c r="Q102" s="58">
        <v>31</v>
      </c>
      <c r="R102" s="70">
        <v>0.98</v>
      </c>
      <c r="S102" s="14">
        <v>0.22</v>
      </c>
      <c r="T102" s="14">
        <v>0.62</v>
      </c>
      <c r="U102" s="71">
        <v>0.11</v>
      </c>
    </row>
    <row r="103" spans="1:21" x14ac:dyDescent="0.2">
      <c r="A103" s="56">
        <v>100</v>
      </c>
      <c r="B103" s="59">
        <v>23</v>
      </c>
      <c r="C103" s="6">
        <v>1.1000000000000001</v>
      </c>
      <c r="D103" s="6">
        <v>0.08</v>
      </c>
      <c r="E103" s="6">
        <v>27</v>
      </c>
      <c r="F103" s="6">
        <v>0.66</v>
      </c>
      <c r="G103" s="58">
        <v>0.16</v>
      </c>
      <c r="H103" s="59">
        <v>45</v>
      </c>
      <c r="I103" s="6">
        <v>2.6</v>
      </c>
      <c r="J103" s="6">
        <v>3</v>
      </c>
      <c r="K103" s="58">
        <v>2.9</v>
      </c>
      <c r="L103" s="59">
        <v>26</v>
      </c>
      <c r="M103" s="6">
        <v>2.6</v>
      </c>
      <c r="N103" s="6">
        <v>56</v>
      </c>
      <c r="O103" s="6">
        <v>40</v>
      </c>
      <c r="P103" s="6">
        <v>37</v>
      </c>
      <c r="Q103" s="58">
        <v>31</v>
      </c>
      <c r="R103" s="70">
        <v>0.97</v>
      </c>
      <c r="S103" s="14">
        <v>0.31</v>
      </c>
      <c r="T103" s="14">
        <v>0.63</v>
      </c>
      <c r="U103" s="71">
        <v>0.18</v>
      </c>
    </row>
    <row r="104" spans="1:21" x14ac:dyDescent="0.2">
      <c r="A104" s="56">
        <v>101</v>
      </c>
      <c r="B104" s="59">
        <v>22</v>
      </c>
      <c r="C104" s="6">
        <v>0.37</v>
      </c>
      <c r="D104" s="6">
        <v>0.02</v>
      </c>
      <c r="E104" s="6">
        <v>26</v>
      </c>
      <c r="F104" s="6">
        <v>0.32</v>
      </c>
      <c r="G104" s="58">
        <v>0.06</v>
      </c>
      <c r="H104" s="59">
        <v>2.8</v>
      </c>
      <c r="I104" s="6">
        <v>0.38</v>
      </c>
      <c r="J104" s="6">
        <v>1.5</v>
      </c>
      <c r="K104" s="58">
        <v>0.68</v>
      </c>
      <c r="L104" s="59">
        <v>25</v>
      </c>
      <c r="M104" s="6">
        <v>0.69</v>
      </c>
      <c r="N104" s="6">
        <v>28</v>
      </c>
      <c r="O104" s="6">
        <v>3.4</v>
      </c>
      <c r="P104" s="6">
        <v>37</v>
      </c>
      <c r="Q104" s="58">
        <v>31</v>
      </c>
      <c r="R104" s="70">
        <v>0.91</v>
      </c>
      <c r="S104" s="14">
        <v>0.27</v>
      </c>
      <c r="T104" s="14">
        <v>0.44</v>
      </c>
      <c r="U104" s="71">
        <v>0.14000000000000001</v>
      </c>
    </row>
    <row r="105" spans="1:21" x14ac:dyDescent="0.2">
      <c r="A105" s="56">
        <v>102</v>
      </c>
      <c r="B105" s="59">
        <v>22</v>
      </c>
      <c r="C105" s="6">
        <v>1.3</v>
      </c>
      <c r="D105" s="6">
        <v>0.04</v>
      </c>
      <c r="E105" s="6">
        <v>22</v>
      </c>
      <c r="F105" s="6">
        <v>0.38</v>
      </c>
      <c r="G105" s="58">
        <v>0.09</v>
      </c>
      <c r="H105" s="59">
        <v>1.6</v>
      </c>
      <c r="I105" s="6">
        <v>1.5</v>
      </c>
      <c r="J105" s="6">
        <v>1</v>
      </c>
      <c r="K105" s="58">
        <v>1.9</v>
      </c>
      <c r="L105" s="59">
        <v>25</v>
      </c>
      <c r="M105" s="6">
        <v>2</v>
      </c>
      <c r="N105" s="6">
        <v>27</v>
      </c>
      <c r="O105" s="6">
        <v>2.2999999999999998</v>
      </c>
      <c r="P105" s="6">
        <v>36</v>
      </c>
      <c r="Q105" s="58">
        <v>31</v>
      </c>
      <c r="R105" s="70">
        <v>0.71</v>
      </c>
      <c r="S105" s="14">
        <v>0.23</v>
      </c>
      <c r="T105" s="14">
        <v>0.36</v>
      </c>
      <c r="U105" s="71">
        <v>0.12</v>
      </c>
    </row>
    <row r="106" spans="1:21" x14ac:dyDescent="0.2">
      <c r="A106" s="56">
        <v>103</v>
      </c>
      <c r="B106" s="59">
        <v>21</v>
      </c>
      <c r="C106" s="6">
        <v>0.84</v>
      </c>
      <c r="D106" s="6">
        <v>8.9999999999999993E-3</v>
      </c>
      <c r="E106" s="6">
        <v>21</v>
      </c>
      <c r="F106" s="6">
        <v>0.28999999999999998</v>
      </c>
      <c r="G106" s="58">
        <v>0.01</v>
      </c>
      <c r="H106" s="59">
        <v>1.8</v>
      </c>
      <c r="I106" s="6">
        <v>1.7</v>
      </c>
      <c r="J106" s="6">
        <v>1.3</v>
      </c>
      <c r="K106" s="58">
        <v>2.7</v>
      </c>
      <c r="L106" s="59">
        <v>26</v>
      </c>
      <c r="M106" s="6">
        <v>2.1</v>
      </c>
      <c r="N106" s="6">
        <v>28</v>
      </c>
      <c r="O106" s="6">
        <v>2.8</v>
      </c>
      <c r="P106" s="6">
        <v>35</v>
      </c>
      <c r="Q106" s="58">
        <v>31</v>
      </c>
      <c r="R106" s="70">
        <v>0.74</v>
      </c>
      <c r="S106" s="14">
        <v>0.18</v>
      </c>
      <c r="T106" s="14">
        <v>0.37</v>
      </c>
      <c r="U106" s="71">
        <v>0.09</v>
      </c>
    </row>
    <row r="107" spans="1:21" x14ac:dyDescent="0.2">
      <c r="A107" s="56">
        <v>104</v>
      </c>
      <c r="B107" s="59">
        <v>144</v>
      </c>
      <c r="C107" s="6">
        <v>0.42</v>
      </c>
      <c r="D107" s="6">
        <v>0.14000000000000001</v>
      </c>
      <c r="E107" s="6">
        <v>179</v>
      </c>
      <c r="F107" s="6">
        <v>0.11</v>
      </c>
      <c r="G107" s="58">
        <v>0.24</v>
      </c>
      <c r="H107" s="59">
        <v>180</v>
      </c>
      <c r="I107" s="6">
        <v>2.5</v>
      </c>
      <c r="J107" s="6">
        <v>9</v>
      </c>
      <c r="K107" s="58">
        <v>4</v>
      </c>
      <c r="L107" s="59">
        <v>26</v>
      </c>
      <c r="M107" s="6">
        <v>4</v>
      </c>
      <c r="N107" s="6">
        <v>164</v>
      </c>
      <c r="O107" s="6">
        <v>177</v>
      </c>
      <c r="P107" s="6">
        <v>35</v>
      </c>
      <c r="Q107" s="58">
        <v>31</v>
      </c>
      <c r="R107" s="70">
        <v>0.98</v>
      </c>
      <c r="S107" s="14">
        <v>0.18</v>
      </c>
      <c r="T107" s="14">
        <v>0.93</v>
      </c>
      <c r="U107" s="71">
        <v>0.22</v>
      </c>
    </row>
    <row r="108" spans="1:21" x14ac:dyDescent="0.2">
      <c r="A108" s="56">
        <v>105</v>
      </c>
      <c r="B108" s="59">
        <v>23</v>
      </c>
      <c r="C108" s="6">
        <v>0.25</v>
      </c>
      <c r="D108" s="6">
        <v>6.0000000000000001E-3</v>
      </c>
      <c r="E108" s="6">
        <v>25</v>
      </c>
      <c r="F108" s="6">
        <v>0.13</v>
      </c>
      <c r="G108" s="58">
        <v>0.01</v>
      </c>
      <c r="H108" s="59">
        <v>2.4</v>
      </c>
      <c r="I108" s="6">
        <v>0.69</v>
      </c>
      <c r="J108" s="6">
        <v>1.48</v>
      </c>
      <c r="K108" s="58">
        <v>1.3</v>
      </c>
      <c r="L108" s="59">
        <v>25</v>
      </c>
      <c r="M108" s="6">
        <v>1.4</v>
      </c>
      <c r="N108" s="6">
        <v>28</v>
      </c>
      <c r="O108" s="6">
        <v>3.4</v>
      </c>
      <c r="P108" s="6">
        <v>36</v>
      </c>
      <c r="Q108" s="58">
        <v>31</v>
      </c>
      <c r="R108" s="70">
        <v>0.86</v>
      </c>
      <c r="S108" s="14">
        <v>0.15</v>
      </c>
      <c r="T108" s="14">
        <v>0.42</v>
      </c>
      <c r="U108" s="71">
        <v>0.08</v>
      </c>
    </row>
    <row r="109" spans="1:21" x14ac:dyDescent="0.2">
      <c r="A109" s="56">
        <v>106</v>
      </c>
      <c r="B109" s="59">
        <v>23</v>
      </c>
      <c r="C109" s="6">
        <v>0.65</v>
      </c>
      <c r="D109" s="6">
        <v>0.02</v>
      </c>
      <c r="E109" s="6">
        <v>29</v>
      </c>
      <c r="F109" s="6">
        <v>0.2</v>
      </c>
      <c r="G109" s="58">
        <v>0.06</v>
      </c>
      <c r="H109" s="59">
        <v>75</v>
      </c>
      <c r="I109" s="6">
        <v>0.19</v>
      </c>
      <c r="J109" s="6">
        <v>1.8</v>
      </c>
      <c r="K109" s="58">
        <v>0.35</v>
      </c>
      <c r="L109" s="59">
        <v>25</v>
      </c>
      <c r="M109" s="6">
        <v>0.56999999999999995</v>
      </c>
      <c r="N109" s="6">
        <v>73</v>
      </c>
      <c r="O109" s="6">
        <v>60</v>
      </c>
      <c r="P109" s="6">
        <v>37</v>
      </c>
      <c r="Q109" s="58">
        <v>31</v>
      </c>
      <c r="R109" s="70">
        <v>0.98</v>
      </c>
      <c r="S109" s="14">
        <v>0.18</v>
      </c>
      <c r="T109" s="14">
        <v>0.51</v>
      </c>
      <c r="U109" s="71">
        <v>0.1</v>
      </c>
    </row>
    <row r="110" spans="1:21" x14ac:dyDescent="0.2">
      <c r="A110" s="56">
        <v>107</v>
      </c>
      <c r="B110" s="59">
        <v>22</v>
      </c>
      <c r="C110" s="6">
        <v>0.76</v>
      </c>
      <c r="D110" s="6">
        <v>2E-3</v>
      </c>
      <c r="E110" s="6">
        <v>21</v>
      </c>
      <c r="F110" s="6">
        <v>0.25</v>
      </c>
      <c r="G110" s="58">
        <v>0.02</v>
      </c>
      <c r="H110" s="59">
        <v>62</v>
      </c>
      <c r="I110" s="6">
        <v>1.6</v>
      </c>
      <c r="J110" s="6">
        <v>3</v>
      </c>
      <c r="K110" s="58">
        <v>2.1</v>
      </c>
      <c r="L110" s="59">
        <v>26</v>
      </c>
      <c r="M110" s="6">
        <v>1.8</v>
      </c>
      <c r="N110" s="6">
        <v>65</v>
      </c>
      <c r="O110" s="6">
        <v>51</v>
      </c>
      <c r="P110" s="6">
        <v>35</v>
      </c>
      <c r="Q110" s="58">
        <v>31</v>
      </c>
      <c r="R110" s="70">
        <v>0.98</v>
      </c>
      <c r="S110" s="14">
        <v>0.19</v>
      </c>
      <c r="T110" s="14">
        <v>0.73</v>
      </c>
      <c r="U110" s="71">
        <v>0.1</v>
      </c>
    </row>
    <row r="111" spans="1:21" x14ac:dyDescent="0.2">
      <c r="A111" s="56">
        <v>108</v>
      </c>
      <c r="B111" s="59">
        <v>45</v>
      </c>
      <c r="C111" s="6">
        <v>0.6</v>
      </c>
      <c r="D111" s="6">
        <v>0.03</v>
      </c>
      <c r="E111" s="6">
        <v>116</v>
      </c>
      <c r="F111" s="6">
        <v>0.16</v>
      </c>
      <c r="G111" s="58">
        <v>7.0000000000000007E-2</v>
      </c>
      <c r="H111" s="59">
        <v>59</v>
      </c>
      <c r="I111" s="6">
        <v>0.89</v>
      </c>
      <c r="J111" s="6">
        <v>2.2000000000000002</v>
      </c>
      <c r="K111" s="58">
        <v>1.1000000000000001</v>
      </c>
      <c r="L111" s="59">
        <v>26</v>
      </c>
      <c r="M111" s="6">
        <v>1.4</v>
      </c>
      <c r="N111" s="6">
        <v>69</v>
      </c>
      <c r="O111" s="6">
        <v>55</v>
      </c>
      <c r="P111" s="6">
        <v>36</v>
      </c>
      <c r="Q111" s="58">
        <v>31</v>
      </c>
      <c r="R111" s="70">
        <v>0.98</v>
      </c>
      <c r="S111" s="14">
        <v>0.17</v>
      </c>
      <c r="T111" s="14">
        <v>0.57999999999999996</v>
      </c>
      <c r="U111" s="71">
        <v>0.14000000000000001</v>
      </c>
    </row>
    <row r="112" spans="1:21" x14ac:dyDescent="0.2">
      <c r="A112" s="56">
        <v>109</v>
      </c>
      <c r="B112" s="59">
        <v>26</v>
      </c>
      <c r="C112" s="6">
        <v>0.34</v>
      </c>
      <c r="D112" s="6">
        <v>0.02</v>
      </c>
      <c r="E112" s="6">
        <v>91</v>
      </c>
      <c r="F112" s="6">
        <v>0.14000000000000001</v>
      </c>
      <c r="G112" s="58">
        <v>0.05</v>
      </c>
      <c r="H112" s="59">
        <v>1.2</v>
      </c>
      <c r="I112" s="6">
        <v>1.2</v>
      </c>
      <c r="J112" s="6">
        <v>0.49</v>
      </c>
      <c r="K112" s="58">
        <v>1</v>
      </c>
      <c r="L112" s="59">
        <v>25</v>
      </c>
      <c r="M112" s="6">
        <v>1</v>
      </c>
      <c r="N112" s="6">
        <v>27</v>
      </c>
      <c r="O112" s="6">
        <v>1.8</v>
      </c>
      <c r="P112" s="6">
        <v>36</v>
      </c>
      <c r="Q112" s="58">
        <v>31</v>
      </c>
      <c r="R112" s="70">
        <v>0.56999999999999995</v>
      </c>
      <c r="S112" s="14">
        <v>0.19</v>
      </c>
      <c r="T112" s="14">
        <v>0.23</v>
      </c>
      <c r="U112" s="71">
        <v>0.13</v>
      </c>
    </row>
    <row r="113" spans="1:21" x14ac:dyDescent="0.2">
      <c r="A113" s="56">
        <v>110</v>
      </c>
      <c r="B113" s="59">
        <v>22</v>
      </c>
      <c r="C113" s="6">
        <v>1.2</v>
      </c>
      <c r="D113" s="6">
        <v>0.06</v>
      </c>
      <c r="E113" s="6">
        <v>21</v>
      </c>
      <c r="F113" s="6">
        <v>0.44</v>
      </c>
      <c r="G113" s="58">
        <v>0.11</v>
      </c>
      <c r="H113" s="59">
        <v>3.9</v>
      </c>
      <c r="I113" s="6">
        <v>1.7</v>
      </c>
      <c r="J113" s="6">
        <v>1.6</v>
      </c>
      <c r="K113" s="58">
        <v>2</v>
      </c>
      <c r="L113" s="59">
        <v>26</v>
      </c>
      <c r="M113" s="6">
        <v>2</v>
      </c>
      <c r="N113" s="6">
        <v>28</v>
      </c>
      <c r="O113" s="6">
        <v>4</v>
      </c>
      <c r="P113" s="6">
        <v>36</v>
      </c>
      <c r="Q113" s="58">
        <v>31</v>
      </c>
      <c r="R113" s="70">
        <v>0.94</v>
      </c>
      <c r="S113" s="14">
        <v>0.23</v>
      </c>
      <c r="T113" s="14">
        <v>0.46</v>
      </c>
      <c r="U113" s="71">
        <v>0.13</v>
      </c>
    </row>
    <row r="114" spans="1:21" x14ac:dyDescent="0.2">
      <c r="A114" s="56">
        <v>111</v>
      </c>
      <c r="B114" s="59">
        <v>22</v>
      </c>
      <c r="C114" s="6">
        <v>1.3</v>
      </c>
      <c r="D114" s="6">
        <v>0.02</v>
      </c>
      <c r="E114" s="6">
        <v>21</v>
      </c>
      <c r="F114" s="6">
        <v>0.59</v>
      </c>
      <c r="G114" s="58">
        <v>0.06</v>
      </c>
      <c r="H114" s="59">
        <v>90</v>
      </c>
      <c r="I114" s="6">
        <v>1.9</v>
      </c>
      <c r="J114" s="6">
        <v>3.1</v>
      </c>
      <c r="K114" s="58">
        <v>2.6</v>
      </c>
      <c r="L114" s="59">
        <v>26</v>
      </c>
      <c r="M114" s="6">
        <v>3</v>
      </c>
      <c r="N114" s="6">
        <v>85</v>
      </c>
      <c r="O114" s="6">
        <v>76</v>
      </c>
      <c r="P114" s="6">
        <v>36</v>
      </c>
      <c r="Q114" s="58">
        <v>31</v>
      </c>
      <c r="R114" s="70">
        <v>0.98</v>
      </c>
      <c r="S114" s="14">
        <v>0.27</v>
      </c>
      <c r="T114" s="14">
        <v>0.64</v>
      </c>
      <c r="U114" s="71">
        <v>0.14000000000000001</v>
      </c>
    </row>
    <row r="115" spans="1:21" x14ac:dyDescent="0.2">
      <c r="A115" s="56">
        <v>112</v>
      </c>
      <c r="B115" s="59">
        <v>35</v>
      </c>
      <c r="C115" s="6">
        <v>1.5</v>
      </c>
      <c r="D115" s="6">
        <v>0.1</v>
      </c>
      <c r="E115" s="6">
        <v>103</v>
      </c>
      <c r="F115" s="6">
        <v>0.51</v>
      </c>
      <c r="G115" s="58">
        <v>0.36</v>
      </c>
      <c r="H115" s="59">
        <v>175</v>
      </c>
      <c r="I115" s="6">
        <v>1.3</v>
      </c>
      <c r="J115" s="6">
        <v>23</v>
      </c>
      <c r="K115" s="58">
        <v>2.2000000000000002</v>
      </c>
      <c r="L115" s="59">
        <v>26</v>
      </c>
      <c r="M115" s="6">
        <v>2.6</v>
      </c>
      <c r="N115" s="6">
        <v>165</v>
      </c>
      <c r="O115" s="6">
        <v>189</v>
      </c>
      <c r="P115" s="6">
        <v>36</v>
      </c>
      <c r="Q115" s="58">
        <v>31</v>
      </c>
      <c r="R115" s="70">
        <v>0.98</v>
      </c>
      <c r="S115" s="14">
        <v>0.32</v>
      </c>
      <c r="T115" s="14">
        <v>0.97</v>
      </c>
      <c r="U115" s="71">
        <v>0.26</v>
      </c>
    </row>
    <row r="116" spans="1:21" x14ac:dyDescent="0.2">
      <c r="A116" s="56">
        <v>113</v>
      </c>
      <c r="B116" s="59">
        <v>25</v>
      </c>
      <c r="C116" s="6">
        <v>0.38</v>
      </c>
      <c r="D116" s="6">
        <v>0.01</v>
      </c>
      <c r="E116" s="6">
        <v>80</v>
      </c>
      <c r="F116" s="6">
        <v>0.12</v>
      </c>
      <c r="G116" s="58">
        <v>0.04</v>
      </c>
      <c r="H116" s="59">
        <v>88</v>
      </c>
      <c r="I116" s="6">
        <v>2.4</v>
      </c>
      <c r="J116" s="6">
        <v>2</v>
      </c>
      <c r="K116" s="58">
        <v>2.1</v>
      </c>
      <c r="L116" s="59">
        <v>26</v>
      </c>
      <c r="M116" s="6">
        <v>2.2000000000000002</v>
      </c>
      <c r="N116" s="6">
        <v>90</v>
      </c>
      <c r="O116" s="6">
        <v>82</v>
      </c>
      <c r="P116" s="6">
        <v>35</v>
      </c>
      <c r="Q116" s="58">
        <v>31</v>
      </c>
      <c r="R116" s="70">
        <v>0.97</v>
      </c>
      <c r="S116" s="14">
        <v>0.15</v>
      </c>
      <c r="T116" s="14">
        <v>0.51</v>
      </c>
      <c r="U116" s="71">
        <v>0.1</v>
      </c>
    </row>
    <row r="117" spans="1:21" x14ac:dyDescent="0.2">
      <c r="A117" s="56">
        <v>114</v>
      </c>
      <c r="B117" s="59">
        <v>22</v>
      </c>
      <c r="C117" s="6">
        <v>1.3</v>
      </c>
      <c r="D117" s="6">
        <v>7.0000000000000007E-2</v>
      </c>
      <c r="E117" s="6">
        <v>21</v>
      </c>
      <c r="F117" s="6">
        <v>0.68</v>
      </c>
      <c r="G117" s="58">
        <v>0.13</v>
      </c>
      <c r="H117" s="59">
        <v>1.95</v>
      </c>
      <c r="I117" s="6">
        <v>1.6</v>
      </c>
      <c r="J117" s="6">
        <v>2</v>
      </c>
      <c r="K117" s="58">
        <v>1.6</v>
      </c>
      <c r="L117" s="59">
        <v>25</v>
      </c>
      <c r="M117" s="6">
        <v>1.4</v>
      </c>
      <c r="N117" s="6">
        <v>27</v>
      </c>
      <c r="O117" s="6">
        <v>3</v>
      </c>
      <c r="P117" s="6">
        <v>36</v>
      </c>
      <c r="Q117" s="58">
        <v>31</v>
      </c>
      <c r="R117" s="70">
        <v>0.81</v>
      </c>
      <c r="S117" s="14">
        <v>0.28000000000000003</v>
      </c>
      <c r="T117" s="14">
        <v>0.52</v>
      </c>
      <c r="U117" s="71">
        <v>0.14000000000000001</v>
      </c>
    </row>
    <row r="118" spans="1:21" x14ac:dyDescent="0.2">
      <c r="A118" s="56">
        <v>115</v>
      </c>
      <c r="B118" s="59">
        <v>22</v>
      </c>
      <c r="C118" s="6">
        <v>1</v>
      </c>
      <c r="D118" s="6">
        <v>0.05</v>
      </c>
      <c r="E118" s="6">
        <v>22</v>
      </c>
      <c r="F118" s="6">
        <v>0.79</v>
      </c>
      <c r="G118" s="58">
        <v>0.18</v>
      </c>
      <c r="H118" s="59">
        <v>2.4</v>
      </c>
      <c r="I118" s="6">
        <v>0.85</v>
      </c>
      <c r="J118" s="6">
        <v>1.7</v>
      </c>
      <c r="K118" s="58">
        <v>1.2</v>
      </c>
      <c r="L118" s="59">
        <v>26</v>
      </c>
      <c r="M118" s="6">
        <v>1.5</v>
      </c>
      <c r="N118" s="6">
        <v>28</v>
      </c>
      <c r="O118" s="6">
        <v>3.3</v>
      </c>
      <c r="P118" s="6">
        <v>36</v>
      </c>
      <c r="Q118" s="58">
        <v>32</v>
      </c>
      <c r="R118" s="70">
        <v>0.86</v>
      </c>
      <c r="S118" s="14">
        <v>0.37</v>
      </c>
      <c r="T118" s="14">
        <v>0.49</v>
      </c>
      <c r="U118" s="71">
        <v>0.21</v>
      </c>
    </row>
    <row r="119" spans="1:21" x14ac:dyDescent="0.2">
      <c r="A119" s="56">
        <v>116</v>
      </c>
      <c r="B119" s="59">
        <v>26</v>
      </c>
      <c r="C119" s="6">
        <v>1.3</v>
      </c>
      <c r="D119" s="6">
        <v>0.14000000000000001</v>
      </c>
      <c r="E119" s="6">
        <v>81</v>
      </c>
      <c r="F119" s="6">
        <v>0.45</v>
      </c>
      <c r="G119" s="58">
        <v>0.21</v>
      </c>
      <c r="H119" s="59">
        <v>4.5999999999999996</v>
      </c>
      <c r="I119" s="6">
        <v>2.4</v>
      </c>
      <c r="J119" s="6">
        <v>2.7</v>
      </c>
      <c r="K119" s="58">
        <v>3</v>
      </c>
      <c r="L119" s="59">
        <v>26</v>
      </c>
      <c r="M119" s="6">
        <v>2.1</v>
      </c>
      <c r="N119" s="6">
        <v>30</v>
      </c>
      <c r="O119" s="6">
        <v>6</v>
      </c>
      <c r="P119" s="6">
        <v>36</v>
      </c>
      <c r="Q119" s="58">
        <v>31</v>
      </c>
      <c r="R119" s="70">
        <v>0.95</v>
      </c>
      <c r="S119" s="14">
        <v>0.26</v>
      </c>
      <c r="T119" s="14">
        <v>0.59</v>
      </c>
      <c r="U119" s="71">
        <v>0.18</v>
      </c>
    </row>
    <row r="120" spans="1:21" x14ac:dyDescent="0.2">
      <c r="A120" s="56">
        <v>117</v>
      </c>
      <c r="B120" s="59">
        <v>23</v>
      </c>
      <c r="C120" s="6">
        <v>0.76</v>
      </c>
      <c r="D120" s="6">
        <v>0.06</v>
      </c>
      <c r="E120" s="6">
        <v>27</v>
      </c>
      <c r="F120" s="6">
        <v>0.32</v>
      </c>
      <c r="G120" s="58">
        <v>0.1</v>
      </c>
      <c r="H120" s="59">
        <v>1.7</v>
      </c>
      <c r="I120" s="6">
        <v>0.6</v>
      </c>
      <c r="J120" s="6">
        <v>1.5</v>
      </c>
      <c r="K120" s="58">
        <v>1</v>
      </c>
      <c r="L120" s="59">
        <v>25</v>
      </c>
      <c r="M120" s="6">
        <v>1.1000000000000001</v>
      </c>
      <c r="N120" s="6">
        <v>27</v>
      </c>
      <c r="O120" s="6">
        <v>2.9</v>
      </c>
      <c r="P120" s="6">
        <v>36</v>
      </c>
      <c r="Q120" s="58">
        <v>31</v>
      </c>
      <c r="R120" s="70">
        <v>0.68</v>
      </c>
      <c r="S120" s="14">
        <v>0.22</v>
      </c>
      <c r="T120" s="14">
        <v>0.43</v>
      </c>
      <c r="U120" s="71">
        <v>0.12</v>
      </c>
    </row>
    <row r="121" spans="1:21" x14ac:dyDescent="0.2">
      <c r="A121" s="56">
        <v>118</v>
      </c>
      <c r="B121" s="59">
        <v>22</v>
      </c>
      <c r="C121" s="6">
        <v>1.7</v>
      </c>
      <c r="D121" s="6">
        <v>0.05</v>
      </c>
      <c r="E121" s="6">
        <v>22</v>
      </c>
      <c r="F121" s="6">
        <v>0.7</v>
      </c>
      <c r="G121" s="58">
        <v>0.17</v>
      </c>
      <c r="H121" s="59">
        <v>29</v>
      </c>
      <c r="I121" s="6">
        <v>1.9</v>
      </c>
      <c r="J121" s="6">
        <v>1</v>
      </c>
      <c r="K121" s="58">
        <v>2.1</v>
      </c>
      <c r="L121" s="59">
        <v>25</v>
      </c>
      <c r="M121" s="6">
        <v>1.6</v>
      </c>
      <c r="N121" s="6">
        <v>46</v>
      </c>
      <c r="O121" s="6">
        <v>26</v>
      </c>
      <c r="P121" s="6">
        <v>35</v>
      </c>
      <c r="Q121" s="58">
        <v>31</v>
      </c>
      <c r="R121" s="70">
        <v>0.98</v>
      </c>
      <c r="S121" s="14">
        <v>0.35</v>
      </c>
      <c r="T121" s="14">
        <v>0.39</v>
      </c>
      <c r="U121" s="71">
        <v>0.2</v>
      </c>
    </row>
    <row r="122" spans="1:21" x14ac:dyDescent="0.2">
      <c r="A122" s="56">
        <v>119</v>
      </c>
      <c r="B122" s="59">
        <v>21</v>
      </c>
      <c r="C122" s="6">
        <v>1.8</v>
      </c>
      <c r="D122" s="6">
        <v>0.04</v>
      </c>
      <c r="E122" s="6">
        <v>22</v>
      </c>
      <c r="F122" s="6">
        <v>0.81</v>
      </c>
      <c r="G122" s="58">
        <v>0.14000000000000001</v>
      </c>
      <c r="H122" s="59">
        <v>12</v>
      </c>
      <c r="I122" s="6">
        <v>1</v>
      </c>
      <c r="J122" s="6">
        <v>1.9</v>
      </c>
      <c r="K122" s="58">
        <v>2.5</v>
      </c>
      <c r="L122" s="59">
        <v>26</v>
      </c>
      <c r="M122" s="6">
        <v>2.5</v>
      </c>
      <c r="N122" s="6">
        <v>36</v>
      </c>
      <c r="O122" s="6">
        <v>13</v>
      </c>
      <c r="P122" s="6">
        <v>36</v>
      </c>
      <c r="Q122" s="58">
        <v>32</v>
      </c>
      <c r="R122" s="70">
        <v>0.97</v>
      </c>
      <c r="S122" s="14">
        <v>0.32</v>
      </c>
      <c r="T122" s="14">
        <v>0.5</v>
      </c>
      <c r="U122" s="71">
        <v>0.17</v>
      </c>
    </row>
    <row r="123" spans="1:21" x14ac:dyDescent="0.2">
      <c r="A123" s="56">
        <v>120</v>
      </c>
      <c r="B123" s="59">
        <v>73</v>
      </c>
      <c r="C123" s="6">
        <v>1.7</v>
      </c>
      <c r="D123" s="6">
        <v>0.24</v>
      </c>
      <c r="E123" s="6">
        <v>131</v>
      </c>
      <c r="F123" s="6">
        <v>0.49</v>
      </c>
      <c r="G123" s="58">
        <v>0.41</v>
      </c>
      <c r="H123" s="59">
        <v>229</v>
      </c>
      <c r="I123" s="6">
        <v>3.5</v>
      </c>
      <c r="J123" s="6">
        <v>82</v>
      </c>
      <c r="K123" s="58">
        <v>3.8</v>
      </c>
      <c r="L123" s="59">
        <v>26</v>
      </c>
      <c r="M123" s="6">
        <v>3.5</v>
      </c>
      <c r="N123" s="6">
        <v>230</v>
      </c>
      <c r="O123" s="6">
        <v>309</v>
      </c>
      <c r="P123" s="6">
        <v>36</v>
      </c>
      <c r="Q123" s="58">
        <v>31</v>
      </c>
      <c r="R123" s="70">
        <v>0.98</v>
      </c>
      <c r="S123" s="14">
        <v>0.28999999999999998</v>
      </c>
      <c r="T123" s="14">
        <v>0.97</v>
      </c>
      <c r="U123" s="71">
        <v>0.26</v>
      </c>
    </row>
    <row r="124" spans="1:21" x14ac:dyDescent="0.2">
      <c r="A124" s="56">
        <v>121</v>
      </c>
      <c r="B124" s="59">
        <v>44</v>
      </c>
      <c r="C124" s="6">
        <v>0.45</v>
      </c>
      <c r="D124" s="6">
        <v>0.04</v>
      </c>
      <c r="E124" s="6">
        <v>114</v>
      </c>
      <c r="F124" s="6">
        <v>0.15</v>
      </c>
      <c r="G124" s="58">
        <v>0.09</v>
      </c>
      <c r="H124" s="59">
        <v>129</v>
      </c>
      <c r="I124" s="6">
        <v>0.55000000000000004</v>
      </c>
      <c r="J124" s="6">
        <v>2.1</v>
      </c>
      <c r="K124" s="58">
        <v>1.3</v>
      </c>
      <c r="L124" s="59">
        <v>26</v>
      </c>
      <c r="M124" s="6">
        <v>1.6</v>
      </c>
      <c r="N124" s="6">
        <v>113</v>
      </c>
      <c r="O124" s="6">
        <v>111</v>
      </c>
      <c r="P124" s="6">
        <v>36</v>
      </c>
      <c r="Q124" s="58">
        <v>31</v>
      </c>
      <c r="R124" s="70">
        <v>0.98</v>
      </c>
      <c r="S124" s="14">
        <v>0.16</v>
      </c>
      <c r="T124" s="14">
        <v>0.56999999999999995</v>
      </c>
      <c r="U124" s="71">
        <v>0.13</v>
      </c>
    </row>
    <row r="125" spans="1:21" x14ac:dyDescent="0.2">
      <c r="A125" s="56">
        <v>122</v>
      </c>
      <c r="B125" s="59">
        <v>23</v>
      </c>
      <c r="C125" s="6">
        <v>1.7</v>
      </c>
      <c r="D125" s="6">
        <v>0.17</v>
      </c>
      <c r="E125" s="6">
        <v>24</v>
      </c>
      <c r="F125" s="6">
        <v>1</v>
      </c>
      <c r="G125" s="58">
        <v>0.32</v>
      </c>
      <c r="H125" s="59">
        <v>2.6</v>
      </c>
      <c r="I125" s="6">
        <v>0.93</v>
      </c>
      <c r="J125" s="6">
        <v>2.2000000000000002</v>
      </c>
      <c r="K125" s="58">
        <v>1.4</v>
      </c>
      <c r="L125" s="59">
        <v>25</v>
      </c>
      <c r="M125" s="6">
        <v>1.2</v>
      </c>
      <c r="N125" s="6">
        <v>27</v>
      </c>
      <c r="O125" s="6">
        <v>3.2</v>
      </c>
      <c r="P125" s="6">
        <v>36</v>
      </c>
      <c r="Q125" s="58">
        <v>31</v>
      </c>
      <c r="R125" s="70">
        <v>0.89</v>
      </c>
      <c r="S125" s="14">
        <v>0.38</v>
      </c>
      <c r="T125" s="14">
        <v>0.55000000000000004</v>
      </c>
      <c r="U125" s="71">
        <v>0.21</v>
      </c>
    </row>
    <row r="126" spans="1:21" x14ac:dyDescent="0.2">
      <c r="A126" s="56">
        <v>123</v>
      </c>
      <c r="B126" s="59">
        <v>22</v>
      </c>
      <c r="C126" s="6">
        <v>2.4</v>
      </c>
      <c r="D126" s="6">
        <v>0.1</v>
      </c>
      <c r="E126" s="6">
        <v>22</v>
      </c>
      <c r="F126" s="6">
        <v>1.2</v>
      </c>
      <c r="G126" s="58">
        <v>0.25</v>
      </c>
      <c r="H126" s="59">
        <v>116</v>
      </c>
      <c r="I126" s="6">
        <v>2.7</v>
      </c>
      <c r="J126" s="6">
        <v>3.2</v>
      </c>
      <c r="K126" s="58">
        <v>2.4</v>
      </c>
      <c r="L126" s="59">
        <v>26</v>
      </c>
      <c r="M126" s="6">
        <v>2.2999999999999998</v>
      </c>
      <c r="N126" s="6">
        <v>107</v>
      </c>
      <c r="O126" s="6">
        <v>105</v>
      </c>
      <c r="P126" s="6">
        <v>36</v>
      </c>
      <c r="Q126" s="58">
        <v>31</v>
      </c>
      <c r="R126" s="70">
        <v>0.98</v>
      </c>
      <c r="S126" s="14">
        <v>0.44</v>
      </c>
      <c r="T126" s="14">
        <v>0.68</v>
      </c>
      <c r="U126" s="71">
        <v>0.24</v>
      </c>
    </row>
    <row r="127" spans="1:21" x14ac:dyDescent="0.2">
      <c r="A127" s="56">
        <v>124</v>
      </c>
      <c r="B127" s="59">
        <v>25</v>
      </c>
      <c r="C127" s="6">
        <v>1.9</v>
      </c>
      <c r="D127" s="6">
        <v>0.32</v>
      </c>
      <c r="E127" s="6">
        <v>56</v>
      </c>
      <c r="F127" s="6">
        <v>0.85</v>
      </c>
      <c r="G127" s="58">
        <v>0.42</v>
      </c>
      <c r="H127" s="59">
        <v>59</v>
      </c>
      <c r="I127" s="6">
        <v>1.6</v>
      </c>
      <c r="J127" s="6">
        <v>2.2999999999999998</v>
      </c>
      <c r="K127" s="58">
        <v>2</v>
      </c>
      <c r="L127" s="59">
        <v>26</v>
      </c>
      <c r="M127" s="6">
        <v>1.8</v>
      </c>
      <c r="N127" s="6">
        <v>71</v>
      </c>
      <c r="O127" s="6">
        <v>57</v>
      </c>
      <c r="P127" s="6">
        <v>36</v>
      </c>
      <c r="Q127" s="58">
        <v>31</v>
      </c>
      <c r="R127" s="70">
        <v>0.98</v>
      </c>
      <c r="S127" s="14">
        <v>0.36</v>
      </c>
      <c r="T127" s="14">
        <v>0.56999999999999995</v>
      </c>
      <c r="U127" s="71">
        <v>0.23</v>
      </c>
    </row>
    <row r="128" spans="1:21" x14ac:dyDescent="0.2">
      <c r="A128" s="56">
        <v>125</v>
      </c>
      <c r="B128" s="59">
        <v>23</v>
      </c>
      <c r="C128" s="6">
        <v>0.55000000000000004</v>
      </c>
      <c r="D128" s="6">
        <v>0.05</v>
      </c>
      <c r="E128" s="6">
        <v>26</v>
      </c>
      <c r="F128" s="6">
        <v>0.32</v>
      </c>
      <c r="G128" s="58">
        <v>0.1</v>
      </c>
      <c r="H128" s="59">
        <v>1.5</v>
      </c>
      <c r="I128" s="6">
        <v>1</v>
      </c>
      <c r="J128" s="6">
        <v>0.94</v>
      </c>
      <c r="K128" s="58">
        <v>1.1000000000000001</v>
      </c>
      <c r="L128" s="59">
        <v>25</v>
      </c>
      <c r="M128" s="6">
        <v>1.2</v>
      </c>
      <c r="N128" s="6">
        <v>27</v>
      </c>
      <c r="O128" s="6">
        <v>2.2000000000000002</v>
      </c>
      <c r="P128" s="6">
        <v>36</v>
      </c>
      <c r="Q128" s="58">
        <v>31</v>
      </c>
      <c r="R128" s="70">
        <v>0.65</v>
      </c>
      <c r="S128" s="14">
        <v>0.23</v>
      </c>
      <c r="T128" s="14">
        <v>0.33</v>
      </c>
      <c r="U128" s="71">
        <v>0.13</v>
      </c>
    </row>
    <row r="129" spans="1:21" x14ac:dyDescent="0.2">
      <c r="A129" s="56">
        <v>126</v>
      </c>
      <c r="B129" s="59">
        <v>22</v>
      </c>
      <c r="C129" s="6">
        <v>1.1000000000000001</v>
      </c>
      <c r="D129" s="6">
        <v>0.04</v>
      </c>
      <c r="E129" s="6">
        <v>21</v>
      </c>
      <c r="F129" s="6">
        <v>0.56999999999999995</v>
      </c>
      <c r="G129" s="58">
        <v>0.09</v>
      </c>
      <c r="H129" s="59">
        <v>2.1</v>
      </c>
      <c r="I129" s="6">
        <v>0.54</v>
      </c>
      <c r="J129" s="6">
        <v>1.3</v>
      </c>
      <c r="K129" s="58">
        <v>1</v>
      </c>
      <c r="L129" s="59">
        <v>25</v>
      </c>
      <c r="M129" s="6">
        <v>1.3</v>
      </c>
      <c r="N129" s="6">
        <v>27</v>
      </c>
      <c r="O129" s="6">
        <v>2.6</v>
      </c>
      <c r="P129" s="6">
        <v>36</v>
      </c>
      <c r="Q129" s="58">
        <v>31</v>
      </c>
      <c r="R129" s="70">
        <v>0.83</v>
      </c>
      <c r="S129" s="14">
        <v>0.3</v>
      </c>
      <c r="T129" s="14">
        <v>0.4</v>
      </c>
      <c r="U129" s="71">
        <v>0.15</v>
      </c>
    </row>
    <row r="130" spans="1:21" x14ac:dyDescent="0.2">
      <c r="A130" s="56">
        <v>127</v>
      </c>
      <c r="B130" s="59">
        <v>22</v>
      </c>
      <c r="C130" s="6">
        <v>1.7</v>
      </c>
      <c r="D130" s="6">
        <v>0.08</v>
      </c>
      <c r="E130" s="6">
        <v>22</v>
      </c>
      <c r="F130" s="6">
        <v>0.87</v>
      </c>
      <c r="G130" s="58">
        <v>0.15</v>
      </c>
      <c r="H130" s="59">
        <v>17</v>
      </c>
      <c r="I130" s="6">
        <v>1.9</v>
      </c>
      <c r="J130" s="6">
        <v>1.2</v>
      </c>
      <c r="K130" s="58">
        <v>2.2999999999999998</v>
      </c>
      <c r="L130" s="59">
        <v>26</v>
      </c>
      <c r="M130" s="6">
        <v>2.2999999999999998</v>
      </c>
      <c r="N130" s="6">
        <v>37</v>
      </c>
      <c r="O130" s="6">
        <v>15</v>
      </c>
      <c r="P130" s="6">
        <v>35</v>
      </c>
      <c r="Q130" s="58">
        <v>31</v>
      </c>
      <c r="R130" s="70">
        <v>0.98</v>
      </c>
      <c r="S130" s="14">
        <v>0.32</v>
      </c>
      <c r="T130" s="14">
        <v>0.37</v>
      </c>
      <c r="U130" s="71">
        <v>0.17</v>
      </c>
    </row>
    <row r="131" spans="1:21" x14ac:dyDescent="0.2">
      <c r="A131" s="56">
        <v>128</v>
      </c>
      <c r="B131" s="59">
        <v>24</v>
      </c>
      <c r="C131" s="6">
        <v>1.2</v>
      </c>
      <c r="D131" s="6">
        <v>0.09</v>
      </c>
      <c r="E131" s="6">
        <v>46</v>
      </c>
      <c r="F131" s="6">
        <v>0.56999999999999995</v>
      </c>
      <c r="G131" s="58">
        <v>0.22</v>
      </c>
      <c r="H131" s="59">
        <v>98</v>
      </c>
      <c r="I131" s="6">
        <v>1.5</v>
      </c>
      <c r="J131" s="6">
        <v>3</v>
      </c>
      <c r="K131" s="58">
        <v>2.2999999999999998</v>
      </c>
      <c r="L131" s="59">
        <v>26</v>
      </c>
      <c r="M131" s="6">
        <v>2.2000000000000002</v>
      </c>
      <c r="N131" s="6">
        <v>104</v>
      </c>
      <c r="O131" s="6">
        <v>98</v>
      </c>
      <c r="P131" s="6">
        <v>36</v>
      </c>
      <c r="Q131" s="58">
        <v>31</v>
      </c>
      <c r="R131" s="70">
        <v>0.98</v>
      </c>
      <c r="S131" s="14">
        <v>0.32</v>
      </c>
      <c r="T131" s="14">
        <v>0.69</v>
      </c>
      <c r="U131" s="71">
        <v>0.19</v>
      </c>
    </row>
    <row r="132" spans="1:21" ht="17" thickBot="1" x14ac:dyDescent="0.25">
      <c r="A132" s="56">
        <v>129</v>
      </c>
      <c r="B132" s="60">
        <v>22</v>
      </c>
      <c r="C132" s="61">
        <v>0.7</v>
      </c>
      <c r="D132" s="61">
        <v>0.01</v>
      </c>
      <c r="E132" s="61">
        <v>22</v>
      </c>
      <c r="F132" s="61">
        <v>0.3</v>
      </c>
      <c r="G132" s="62">
        <v>0.05</v>
      </c>
      <c r="H132" s="60">
        <v>60</v>
      </c>
      <c r="I132" s="61">
        <v>0.91</v>
      </c>
      <c r="J132" s="61">
        <v>2.2000000000000002</v>
      </c>
      <c r="K132" s="62">
        <v>1.5</v>
      </c>
      <c r="L132" s="60">
        <v>26</v>
      </c>
      <c r="M132" s="61">
        <v>1.8</v>
      </c>
      <c r="N132" s="61">
        <v>67</v>
      </c>
      <c r="O132" s="61">
        <v>53</v>
      </c>
      <c r="P132" s="61">
        <v>35</v>
      </c>
      <c r="Q132" s="62">
        <v>31</v>
      </c>
      <c r="R132" s="72">
        <v>0.98</v>
      </c>
      <c r="S132" s="73">
        <v>0.18</v>
      </c>
      <c r="T132" s="73">
        <v>0.55000000000000004</v>
      </c>
      <c r="U132" s="74">
        <v>0.1</v>
      </c>
    </row>
  </sheetData>
  <mergeCells count="12">
    <mergeCell ref="L1:Q1"/>
    <mergeCell ref="L2:O2"/>
    <mergeCell ref="P2:Q2"/>
    <mergeCell ref="R1:U1"/>
    <mergeCell ref="R2:S2"/>
    <mergeCell ref="T2:U2"/>
    <mergeCell ref="B2:D2"/>
    <mergeCell ref="B1:G1"/>
    <mergeCell ref="E2:G2"/>
    <mergeCell ref="H1:K1"/>
    <mergeCell ref="H2:I2"/>
    <mergeCell ref="J2:K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Input Parameter Design</vt:lpstr>
      <vt:lpstr>Output Indicator Design</vt:lpstr>
      <vt:lpstr>NOLH Designs (2)</vt:lpstr>
      <vt:lpstr>Actual Values</vt:lpstr>
      <vt:lpstr>ExpValues Eq</vt:lpstr>
      <vt:lpstr>ExpValues</vt:lpstr>
      <vt:lpstr>SimResults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Wael Rashwan</dc:creator>
  <cp:lastModifiedBy>Amr Mahfouz</cp:lastModifiedBy>
  <dcterms:created xsi:type="dcterms:W3CDTF">2021-03-02T00:16:10Z</dcterms:created>
  <dcterms:modified xsi:type="dcterms:W3CDTF">2026-08-26T16:44:28Z</dcterms:modified>
</cp:coreProperties>
</file>