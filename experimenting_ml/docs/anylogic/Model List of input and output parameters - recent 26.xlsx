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https://maynoothuniversity-my.sharepoint.com/personal/amr_mahfouz_mu_ie/Documents/Documents/Research/Research Career/Amr Research/Journal Papers-new/Brexit Publications/Brexit Simulatin Article/ML metamodel and XAI - Ali/Experimental Design and Analysis/"/>
    </mc:Choice>
  </mc:AlternateContent>
  <xr:revisionPtr revIDLastSave="4" documentId="8_{B9A0B925-C009-3B4B-8031-A9627D3BE126}" xr6:coauthVersionLast="47" xr6:coauthVersionMax="47" xr10:uidLastSave="{B5582541-2A87-A94F-B32D-832F0022B934}"/>
  <bookViews>
    <workbookView xWindow="0" yWindow="500" windowWidth="51200" windowHeight="28300" activeTab="1" xr2:uid="{00000000-000D-0000-FFFF-FFFF00000000}"/>
  </bookViews>
  <sheets>
    <sheet name="Cover Page " sheetId="24" r:id="rId1"/>
    <sheet name="Input Parameters &amp; Sources" sheetId="32" r:id="rId2"/>
    <sheet name="Outcome indicators"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4" i="32" l="1"/>
  <c r="C23" i="32"/>
  <c r="C22" i="32"/>
  <c r="C21" i="32"/>
  <c r="C20" i="32"/>
  <c r="C19" i="32"/>
  <c r="C18" i="32"/>
  <c r="C17"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tc={5A10056A-DEBE-463C-8E04-9F1C429DD144}</author>
  </authors>
  <commentList>
    <comment ref="A6" authorId="0" shapeId="0" xr:uid="{5A10056A-DEBE-463C-8E04-9F1C429DD144}">
      <text>
        <t>[Threaded comment]
Your version of Excel allows you to read this threaded comment; however, any edits to it will get removed if the file is opened in a newer version of Excel. Learn more: https://go.microsoft.com/fwlink/?linkid=870924
Comment:
    I would remove 'the' before inbound and replace it with 'both'</t>
      </text>
    </comment>
  </commentList>
</comments>
</file>

<file path=xl/sharedStrings.xml><?xml version="1.0" encoding="utf-8"?>
<sst xmlns="http://schemas.openxmlformats.org/spreadsheetml/2006/main" count="714" uniqueCount="680">
  <si>
    <t>Name</t>
  </si>
  <si>
    <t>Description</t>
  </si>
  <si>
    <t>VolAllPImEULB</t>
  </si>
  <si>
    <t>VolAllPExEULB</t>
  </si>
  <si>
    <t>VolAllPImViaChe</t>
  </si>
  <si>
    <t>VolAllPExViaChe</t>
  </si>
  <si>
    <t>Ro/Ro Trade Vol Between IR-EU (via Rotterdam)</t>
  </si>
  <si>
    <t>VolAllPImViaRott</t>
  </si>
  <si>
    <t>VolAllPExViaRott</t>
  </si>
  <si>
    <t>Ro/Ro Trade Vol Between IR-EU (via Zeebrugge)</t>
  </si>
  <si>
    <t>VolAllPImViaZee</t>
  </si>
  <si>
    <t>VolAllPExViaZee</t>
  </si>
  <si>
    <t>VolAllPImViaBil</t>
  </si>
  <si>
    <t>VolAllPExViaBil</t>
  </si>
  <si>
    <t>PerGreenTrucksImEU</t>
  </si>
  <si>
    <t>DocCheckTimeImEU</t>
  </si>
  <si>
    <t>PerPhyChkImEU</t>
  </si>
  <si>
    <t>PhyCheckTimeImEU</t>
  </si>
  <si>
    <t>PerSecurityChkEU</t>
  </si>
  <si>
    <t>SecCheckTimeEU</t>
  </si>
  <si>
    <t>TransitCheckTimeLB</t>
  </si>
  <si>
    <t>PerPhyChkLB</t>
  </si>
  <si>
    <t>PhyCheckTimeLB</t>
  </si>
  <si>
    <t>PerSecurityChkLB</t>
  </si>
  <si>
    <t>SecCheckTimeLB</t>
  </si>
  <si>
    <t>Capacity/Resources at Irish-Ports</t>
  </si>
  <si>
    <t>NumCustomOfficerD</t>
  </si>
  <si>
    <t>NumTractorD</t>
  </si>
  <si>
    <t>NumCustomOfficerR</t>
  </si>
  <si>
    <t>NumTractorR</t>
  </si>
  <si>
    <t>PerProductMoveHey</t>
  </si>
  <si>
    <t>PerProductMoveLiv</t>
  </si>
  <si>
    <t>PerProductMoveHoly</t>
  </si>
  <si>
    <t>PerProductMoveFish</t>
  </si>
  <si>
    <t>PerProductMovePem</t>
  </si>
  <si>
    <t>Other</t>
  </si>
  <si>
    <t>UnAccTrucks(%)</t>
  </si>
  <si>
    <t>Different Cost for Checks</t>
  </si>
  <si>
    <t>DocCheckCost</t>
  </si>
  <si>
    <t>PhyCheckCost</t>
  </si>
  <si>
    <t>SecurityCheckCost</t>
  </si>
  <si>
    <t>Transportation time import from EULB</t>
  </si>
  <si>
    <t>Transportation time import from EU che</t>
  </si>
  <si>
    <t>Check cost im trucks D</t>
  </si>
  <si>
    <t>Total doc check cost im trucks to D</t>
  </si>
  <si>
    <t>Total idn check cost im trucks to D</t>
  </si>
  <si>
    <t>Total phy check cost im trucks to D</t>
  </si>
  <si>
    <t>Total sec check cost im trucks to D</t>
  </si>
  <si>
    <t>Check cost im trucks R</t>
  </si>
  <si>
    <t>Total doc check cost im trucks to R</t>
  </si>
  <si>
    <t>Total idn check cost im trucks to R</t>
  </si>
  <si>
    <t>Total phy check cost im trucks to R</t>
  </si>
  <si>
    <t>Trade Volumes IRE, GB, EU</t>
  </si>
  <si>
    <t>Number of custom officers at Rosslare port</t>
  </si>
  <si>
    <t>Percentage of the unaccompanied trucks in Dublin and Rosslare ports</t>
  </si>
  <si>
    <t>Percentage of outbound trucks from Heysham to Dublin ports</t>
  </si>
  <si>
    <t>Percentage of outbound trucks from Liverpool to Dublin ports</t>
  </si>
  <si>
    <t>Percentage of outbound trucks from Holyhead to Dublin ports</t>
  </si>
  <si>
    <t>Percentage of outbound trucks from Fishguard to Rosslare ports</t>
  </si>
  <si>
    <t>Percentage of outbound trucks from Pembroke to Rosslare ports</t>
  </si>
  <si>
    <t>Resources Capacity for the check points at Irish Ports</t>
  </si>
  <si>
    <t>Maritime Routes between GB and IRE</t>
  </si>
  <si>
    <t>Type of Trucks</t>
  </si>
  <si>
    <t>Borders Check Costs</t>
  </si>
  <si>
    <t>Maritime Direct Routes (IR To EU) (EU To IR)</t>
  </si>
  <si>
    <t>DToCheVesselCap</t>
  </si>
  <si>
    <t>DToRottVesselCap</t>
  </si>
  <si>
    <t>DToZeeVesselCap</t>
  </si>
  <si>
    <t>RToCheVesselCap</t>
  </si>
  <si>
    <t>RToBilVesselCap</t>
  </si>
  <si>
    <t>Trucks vessel queue length hey to D</t>
  </si>
  <si>
    <t>Trucks vessel queue length liv to D</t>
  </si>
  <si>
    <t>Trucks vessel queue length holy to D</t>
  </si>
  <si>
    <t>Trucks vessel queue length fish to R</t>
  </si>
  <si>
    <t>Trucks vessel queue length pem to R</t>
  </si>
  <si>
    <t>Trucks vessel queue length D to che</t>
  </si>
  <si>
    <t>Trucks vessel queue length D to rott</t>
  </si>
  <si>
    <t>Trucks vessel queue length D to zee</t>
  </si>
  <si>
    <t>Trucks vessel queue length R to che</t>
  </si>
  <si>
    <t>Trucks vessel queue length che to IR</t>
  </si>
  <si>
    <t>Trucks vessel queue length rott to D</t>
  </si>
  <si>
    <t>Trucks vessel queue length zee to D</t>
  </si>
  <si>
    <t>Trucks waiting time because of Non-tariff barriers</t>
  </si>
  <si>
    <t>Official Check costs at Dublin Port</t>
  </si>
  <si>
    <t>Official Check costs at Rosslare Port</t>
  </si>
  <si>
    <t xml:space="preserve">Avg. waiting time of outbound trucks from Calais </t>
  </si>
  <si>
    <t xml:space="preserve">Avg. waiting time of inbound trucks to Calais </t>
  </si>
  <si>
    <t xml:space="preserve">Avg. waiting time of outbound trucks from Dover </t>
  </si>
  <si>
    <t xml:space="preserve">Avg. waiting time of inbound trucks to Dover </t>
  </si>
  <si>
    <t xml:space="preserve">Total border checking costs at Dublin port for inbound trucks </t>
  </si>
  <si>
    <t xml:space="preserve">Total documentary checking cost at Dublin port for inbound trucks </t>
  </si>
  <si>
    <t xml:space="preserve">Total full-identity checking costs at Dublin port for inbound trucks </t>
  </si>
  <si>
    <t xml:space="preserve">Total physical checking cost at Dublin port for inbound trucks </t>
  </si>
  <si>
    <t xml:space="preserve">Total security checking cost at Dublin port for inbound trucks </t>
  </si>
  <si>
    <t xml:space="preserve">Total border checking costs at Rosslare port for inbound trucks </t>
  </si>
  <si>
    <t xml:space="preserve">Total documentary checking cost at Rosslare port for inbound trucks </t>
  </si>
  <si>
    <t xml:space="preserve">Total full-identity checking costs at Rosslare port for inbound trucks </t>
  </si>
  <si>
    <t xml:space="preserve">Total physical checking cost at Rosslare port for inbound trucks </t>
  </si>
  <si>
    <t xml:space="preserve">Total security checking cost at Rosslare port for inbound trucks </t>
  </si>
  <si>
    <t>Outbound trucks queue length from Liverpool to Dublin port</t>
  </si>
  <si>
    <t>Outbound trucks queue length from Holyhead to Dublin port</t>
  </si>
  <si>
    <t>Outbound trucks queue length from Fishguard to Rosslare port</t>
  </si>
  <si>
    <t>Outbound trucks queue length from Rotterdam to Dublin port</t>
  </si>
  <si>
    <t>PerLBTrucksMoveD</t>
  </si>
  <si>
    <t>CustomOfficerutilisation</t>
  </si>
  <si>
    <t>SPSOfficerutilisation</t>
  </si>
  <si>
    <t>Utilisation of Custom Officers at Dublin Port</t>
  </si>
  <si>
    <t>Utilisation of SPS Officers at Dublin Port</t>
  </si>
  <si>
    <t>Tractor Utilisation</t>
  </si>
  <si>
    <t>Utilisation of Tractors at Dublin Port</t>
  </si>
  <si>
    <t>Utilisation of Security Officers at Dublin Port</t>
  </si>
  <si>
    <t>Utilisation of Custom Officers at Rosslare Port</t>
  </si>
  <si>
    <t>Utilisation of SPS Officers at Rosslare Port</t>
  </si>
  <si>
    <t>Utilisation of Tractors at Rosslare Port</t>
  </si>
  <si>
    <t>Utilisation of Security Officers at Rosslare Port</t>
  </si>
  <si>
    <t>Outbound trucks queue length from Heysham to Dublin port</t>
  </si>
  <si>
    <t>Outbound trucks queue length from Pembroke to Rosslare port</t>
  </si>
  <si>
    <t>Outbound trucks queue length from Zeebrugge to Dublin port</t>
  </si>
  <si>
    <t>AS-IS Value</t>
  </si>
  <si>
    <t>To-Be value</t>
  </si>
  <si>
    <t>Percentage of inbound trucks need physical checks (red routed) at Irish Ports (%)</t>
  </si>
  <si>
    <t>Timing of physical checks on inbound trucks at Irish ports (minutes)</t>
  </si>
  <si>
    <t>Percentage of inbound trucks for security, license compliance and immegration checks at Irish Ports (%)</t>
  </si>
  <si>
    <t>Timing of the security, license compliance and immegration checks on inbound trucks at Irish ports (minutes)</t>
  </si>
  <si>
    <t>Number of custom officers at Dublin port</t>
  </si>
  <si>
    <t>Percentage of outbound trucks from Dublin port to the EU-26 market</t>
  </si>
  <si>
    <t>DToHeyVesselCap</t>
  </si>
  <si>
    <t>Average ferry capacity between Dublin and Heysham ports (trailer)</t>
  </si>
  <si>
    <t>Sea Truck company</t>
  </si>
  <si>
    <t>DToLivVesselCap</t>
  </si>
  <si>
    <t>Average ferry capacity between Dublin and Liverpool (trailer)</t>
  </si>
  <si>
    <t>DToHolyVesselCap</t>
  </si>
  <si>
    <t>Average ferry capacity between Dublin and Holyhead (Trailer)</t>
  </si>
  <si>
    <t>RToFishVesselCap</t>
  </si>
  <si>
    <t>Average ferry capacity between Rosslare and Fishguard (Trailer)</t>
  </si>
  <si>
    <t>RToPemVesselCap</t>
  </si>
  <si>
    <t>Average ferry capacity between Rosslare and Pembroke (Trailer</t>
  </si>
  <si>
    <t>Stena Line</t>
  </si>
  <si>
    <t>Average ferry capacity between Dublin and Rotterdam (trailer)</t>
  </si>
  <si>
    <t>CLDN Ferry</t>
  </si>
  <si>
    <t>Average ferry capacity between Dublin and Zeebrugge (trailer)</t>
  </si>
  <si>
    <t>Average ferry capacity between Rosslare and Bilbao (trailer)</t>
  </si>
  <si>
    <t>Brittany Ferry</t>
  </si>
  <si>
    <t>Import Volumes for all products from GB to IRE (tonnes)</t>
  </si>
  <si>
    <t>Export Volumes for all products from IRE to GB (tonnes)</t>
  </si>
  <si>
    <t>Import Volumes for Agri-food products from GB to IRE (tonnes)</t>
  </si>
  <si>
    <t>Export Volumes for Agri-food products from IRE to GB (tonnes)</t>
  </si>
  <si>
    <t>VolAgriImEULB</t>
  </si>
  <si>
    <t>VolAgriExEULB</t>
  </si>
  <si>
    <t>Export Volumes for all products from IRE to EU through landbridge (tonnes)</t>
  </si>
  <si>
    <t>Import Volumes for Agri-food products from EU to IRE through landbridge (tonnes)</t>
  </si>
  <si>
    <t>Export Volumes for Agri-food products from IRE to EU through landbridge (tonnes)</t>
  </si>
  <si>
    <t>VolAgriImViaChe</t>
  </si>
  <si>
    <t>VolAgriExViaChe</t>
  </si>
  <si>
    <t>Import Volumes for all products from EU (Cherbourg) to IRE through Direct Route (tonnes)</t>
  </si>
  <si>
    <t>Export Volumes for all products from IRE to EU (Cherbourg) through Direct Route (tonnes)</t>
  </si>
  <si>
    <t>Import Volumes for Agri-food products from EU (Cherbourg) to IRE through Direct Route (tonnes)</t>
  </si>
  <si>
    <t>Export Volumes for Agri-food products from IRE to EU (Cherbourg) through Direct Route (tonnes)</t>
  </si>
  <si>
    <t>Import Volumes for specific product category (e.g. Meat) from EU (Cherbourg) to IRE through Direct Route (tonnes)</t>
  </si>
  <si>
    <t>Export Volumes for specific product category (e.g. Meat) from IRE to EU (Cherbourg) through Direct Route (tonnes)</t>
  </si>
  <si>
    <t>Data Source</t>
  </si>
  <si>
    <t>Import Volumes for all products from EU (Rotterdam) to IRE through Direct Route (tonnes)</t>
  </si>
  <si>
    <t>Export Volumes for all products from IRE to EU (Rotterdam) through Direct Route (tonnes)</t>
  </si>
  <si>
    <t>Import Volumes for Agri-food products from EU (Rotterdam) to IRE through Direct Route (tonnes)</t>
  </si>
  <si>
    <t>Export Volumes for Agri-food products from IRE to EU (Rotterdam) through Direct Route (tonnes)</t>
  </si>
  <si>
    <t>Import Volumes for specific product category (e.g. Meat) from EU (Rotterdam) to IRE through Direct Route (tonnes)</t>
  </si>
  <si>
    <t>Export Volumes for specific product category (e.g. Meat) from IRE to EU (Rotterdam) through Direct Route (tonnes)</t>
  </si>
  <si>
    <t>VolAgriImViaRott</t>
  </si>
  <si>
    <t>VolAgriExViaRott</t>
  </si>
  <si>
    <t>VolAgriImViaZee</t>
  </si>
  <si>
    <t>VolAgriExViaZee</t>
  </si>
  <si>
    <t>Import Volumes for all products from EU (Zeebrugge) to IRE through Direct Route (tonnes)</t>
  </si>
  <si>
    <t>Export Volumes for all products from IRE to EU (Zeebrugge) through Direct Route (tonnes)</t>
  </si>
  <si>
    <t>Import Volumes for Agri-food products from EU (Zeebrugge) to IRE through Direct Route (tonnes)</t>
  </si>
  <si>
    <t>Export Volumes for Agri-food products from IRE to EU (Zeebrugge) through Direct Route (tonnes)</t>
  </si>
  <si>
    <t>Import Volumes for specific product category (e.g. Meat) from EU (Zeebrugge) to IRE through Direct Route (tonnes)</t>
  </si>
  <si>
    <t>Export Volumes for specific product category (e.g. Meat) from IRE to EU (Zeebrugge) through Direct Route (tonnes)</t>
  </si>
  <si>
    <t>VolAgriImViaBil</t>
  </si>
  <si>
    <t>VolAgriExViaBil</t>
  </si>
  <si>
    <t>Import Volumes for all products from EU (Bilbao) to IRE through Direct Route (tonnes)</t>
  </si>
  <si>
    <t>Export Volumes for all products from IRE to EU (Bilbao) through Direct Route (tonnes)</t>
  </si>
  <si>
    <t>Import Volumes for Agri-food products from EU (Bilbao) to IRE through Direct Route (tonnes)</t>
  </si>
  <si>
    <t>Export Volumes for Agri-food products from IRE to EU (Bilbao) through Direct Route (tonnes)</t>
  </si>
  <si>
    <t>Import Volumes for specific product category (e.g. Meat) from EU (Bilbao) to IRE through Direct Route (tonnes)</t>
  </si>
  <si>
    <t>Export Volumes for specific product category (e.g. Meat) from IRE to EU (Bilbao) through Direct Route (tonnes)</t>
  </si>
  <si>
    <t>PerGreenTrucksAPImIR</t>
  </si>
  <si>
    <t>DocChkTimeAPImIR</t>
  </si>
  <si>
    <t>PerPhyChkAPImIR</t>
  </si>
  <si>
    <t>PhyChkTimeAPImIR</t>
  </si>
  <si>
    <t>PerSecurityChkAPIR</t>
  </si>
  <si>
    <t>SecChkTimeAPImIR</t>
  </si>
  <si>
    <t>DocChkTimeAgriImIR</t>
  </si>
  <si>
    <t>PerPhyChkAgriImIR</t>
  </si>
  <si>
    <t>PhyChkTimeAgriImIR</t>
  </si>
  <si>
    <t>PerSecurityChkAgriIR</t>
  </si>
  <si>
    <t>SecChkTimeAgriImIR</t>
  </si>
  <si>
    <t>Percentage of Agri-food inbound trucks need physical checks (red routed) at Irish Ports (%)</t>
  </si>
  <si>
    <t>Timing of physical checks on Agri-food inbound trucks at Irish ports (minutes)</t>
  </si>
  <si>
    <t>Percentage of Agri-food inbound trucks for security, license compliance and immegration checks at Irish Ports (%)</t>
  </si>
  <si>
    <t>Timing of the security, license compliance and immegration checks on Agri-food inbound trucks at Irish ports (minutes)</t>
  </si>
  <si>
    <t>Timing of documentary and sealed identity checks on inbound trucks at West-EU Ports (Calais) (minutes)</t>
  </si>
  <si>
    <t>Percentage of inbound trucks need physical checks (red routed) at West-EU Ports (Calais) (%)</t>
  </si>
  <si>
    <t>Timing of physical checks on inbound trucks at West-EU Ports (Calais) (minutes)</t>
  </si>
  <si>
    <t>AvgShelflife (Meat)</t>
  </si>
  <si>
    <t>Average Shelf-life time for the studied product category (e.g. Meat)</t>
  </si>
  <si>
    <t>Remaining shelf life time for the inbound studied product category imported from the EU through Landbridge</t>
  </si>
  <si>
    <t>Transportation Time for all outbound trucks (All products, Agri-food, specific product category) from IRE to EU through Bilbao</t>
  </si>
  <si>
    <t>Remaining shelf life time for the outbound studied product category exported to the EU through Bilbao</t>
  </si>
  <si>
    <t>Remaining shelf life time for the inbound studied product category imported from the EU through Bilbao</t>
  </si>
  <si>
    <t>AP avg waiting time on ex at D</t>
  </si>
  <si>
    <t>AP doc chk waiting time on ex at D</t>
  </si>
  <si>
    <t>AP idn chk waiting time on ex at D</t>
  </si>
  <si>
    <t>AP phy chk waiting time on ex at D</t>
  </si>
  <si>
    <t>All Products outbound Trucks avg. waiting time because of the checks at Dublin port</t>
  </si>
  <si>
    <t>All Products outbound Trucks avg. waiting time because of the documentary checks at Dublin port</t>
  </si>
  <si>
    <t>All Products outbound Trucks avg. waiting time because of full-identity checks at Dublin port</t>
  </si>
  <si>
    <t>All Products outbound Trucks avg. waiting time because of physical checks at Dublin port</t>
  </si>
  <si>
    <t>AP avg waiting time on im at D</t>
  </si>
  <si>
    <t>AP doc chk waiting time on im at D</t>
  </si>
  <si>
    <t>AP idn chk waiting time on im at D</t>
  </si>
  <si>
    <t>AP phy chk waiting time on im at D</t>
  </si>
  <si>
    <t>AP sec chk waiting time on im at D</t>
  </si>
  <si>
    <t>All Products Inbound Trucks avg. waiting time because of the checks at Dublin port</t>
  </si>
  <si>
    <t>All Products Inbound Trucks avg. waiting time because of the documentary checks at Dublin port</t>
  </si>
  <si>
    <t>All Products Inbound Trucks avg. waiting time because of full-identity checks at Dublin port</t>
  </si>
  <si>
    <t>All Products Inbound Trucks avg. waiting time because of physical checks at Dublin port</t>
  </si>
  <si>
    <t>All Products Inbound Trucks avg. waiting time because of Security checks at Dublin port</t>
  </si>
  <si>
    <t>All products Trucks waiting time because of Non-tariff barriers at Dublin Port</t>
  </si>
  <si>
    <t>Agri-food Trucks waiting time because of Non-tariff barriers at Dublin Port</t>
  </si>
  <si>
    <t>Agri avg waiting time on ex at D</t>
  </si>
  <si>
    <t>Agri doc chk waiting time on ex at D</t>
  </si>
  <si>
    <t>Agri idn chk waiting time on ex at D</t>
  </si>
  <si>
    <t>Agri phy chk waiting time on ex at D</t>
  </si>
  <si>
    <t>Agri-food outbound Trucks avg. waiting time because of the checks at Dublin port</t>
  </si>
  <si>
    <t>Agri-food outbound Trucks avg. waiting time because of the documentary checks at Dublin port</t>
  </si>
  <si>
    <t>Agri-food outbound Trucks avg. waiting time because of full-identity checks at Dublin port</t>
  </si>
  <si>
    <t>Agri-food outbound Trucks avg. waiting time because of physical checks at Dublin port</t>
  </si>
  <si>
    <t>Agri avg waiting time on im at D</t>
  </si>
  <si>
    <t>Agri doc chk waiting time on im at D</t>
  </si>
  <si>
    <t>Agri idn chk waiting time on im at D</t>
  </si>
  <si>
    <t>Agri phy chk waiting time on im at D</t>
  </si>
  <si>
    <t>Agri sec chk waiting time on im at D</t>
  </si>
  <si>
    <t>Agri-food Inbound Trucks avg. waiting time because of the checks at Dublin port</t>
  </si>
  <si>
    <t>Agri-food Inbound Trucks avg. waiting time because of the documentary checks at Dublin port</t>
  </si>
  <si>
    <t>Agri-food Inbound Trucks avg. waiting time because of full-identity checks at Dublin port</t>
  </si>
  <si>
    <t>Agri-food Inbound Trucks avg. waiting time because of physical checks at Dublin port</t>
  </si>
  <si>
    <t>Agri-food Inbound Trucks avg. waiting time because of Security checks at Dublin port</t>
  </si>
  <si>
    <t>Specific Product category Trucks waiting time because of Non-tariff barriers at Dublin Port</t>
  </si>
  <si>
    <t>Specific Product category outbound Trucks avg. waiting time because of the checks at Dublin port</t>
  </si>
  <si>
    <t>Specific Product category outbound Trucks avg. waiting time because of the documentary checks at Dublin port</t>
  </si>
  <si>
    <t>Specific Product category Agri-food outbound Trucks avg. waiting time because of full-identity checks at Dublin port</t>
  </si>
  <si>
    <t>Specific Product category Agri-food outbound Trucks avg. waiting time because of physical checks at Dublin port</t>
  </si>
  <si>
    <t>Specific Product category Inbound Trucks avg. waiting time because of the checks at Dublin port</t>
  </si>
  <si>
    <t>Specific Product category Inbound Trucks avg. waiting time because of the documentary checks at Dublin port</t>
  </si>
  <si>
    <t>Specific Product category Inbound Trucks avg. waiting time because of full-identity checks at Dublin port</t>
  </si>
  <si>
    <t>Specific Product category Inbound Trucks avg. waiting time because of physical checks at Dublin port</t>
  </si>
  <si>
    <t>Specific Product category Inbound Trucks avg. waiting time because of Security checks at Dublin port</t>
  </si>
  <si>
    <t>All products Trucks waiting time because of Non-tariff barriers at Rosslare Port</t>
  </si>
  <si>
    <t>AP avg waiting time on ex at R</t>
  </si>
  <si>
    <t>AP doc chk waiting time on ex at R</t>
  </si>
  <si>
    <t>AP idn chk waiting time on ex at R</t>
  </si>
  <si>
    <t>AP phy chk waiting time on ex at R</t>
  </si>
  <si>
    <t>All Products outbound Trucks avg. waiting time because of the checks at Rosslare port</t>
  </si>
  <si>
    <t>All Products outbound Trucks avg. waiting time because of the documentary checks at Rosslare port</t>
  </si>
  <si>
    <t>All Products outbound Trucks avg. waiting time because of full-identity checks at Rosslare port</t>
  </si>
  <si>
    <t>All Products outbound Trucks avg. waiting time because of physical checks at Rosslare port</t>
  </si>
  <si>
    <t>AP avg waiting time on im at R</t>
  </si>
  <si>
    <t>AP doc chk waiting time on im at R</t>
  </si>
  <si>
    <t>AP idn chk waiting time on im at R</t>
  </si>
  <si>
    <t>AP phy chk waiting time on im at R</t>
  </si>
  <si>
    <t>AP sec chk waiting time on im at R</t>
  </si>
  <si>
    <t>All Products Inbound Trucks avg. waiting time because of the checks at Rosslare port</t>
  </si>
  <si>
    <t>All Products Inbound Trucks avg. waiting time because of the documentary checks at Rosslare port</t>
  </si>
  <si>
    <t>All Products Inbound Trucks avg. waiting time because of full-identity checks at Rosslare port</t>
  </si>
  <si>
    <t>All Products Inbound Trucks avg. waiting time because of physical checks at Rosslare port</t>
  </si>
  <si>
    <t>All Products Inbound Trucks avg. waiting time because of Security checks at Rosslare port</t>
  </si>
  <si>
    <t>Agri avg waiting time on ex at R</t>
  </si>
  <si>
    <t>Agri doc chk waiting time on ex at R</t>
  </si>
  <si>
    <t>Agri idn chk waiting time on ex at R</t>
  </si>
  <si>
    <t>Agri phy chk waiting time on ex at R</t>
  </si>
  <si>
    <t>Agri-food Trucks waiting time because of Non-tariff barriers at Rosslare Port</t>
  </si>
  <si>
    <t>Agri-food outbound Trucks avg. waiting time because of the checks at Rosslare port</t>
  </si>
  <si>
    <t>Agri-food outbound Trucks avg. waiting time because of the documentary checks at Rosslare port</t>
  </si>
  <si>
    <t>Agri-food outbound Trucks avg. waiting time because of full-identity checks at Rosslare port</t>
  </si>
  <si>
    <t>Agri-food outbound Trucks avg. waiting time because of physical checks at Rosslare port</t>
  </si>
  <si>
    <t>Agri-food Inbound Trucks avg. waiting time because of the checks at Rosslare port</t>
  </si>
  <si>
    <t>Agri-food Inbound Trucks avg. waiting time because of the documentary checks at Rosslare port</t>
  </si>
  <si>
    <t>Agri-food Inbound Trucks avg. waiting time because of full-identity checks at Rosslare port</t>
  </si>
  <si>
    <t>Agri-food Inbound Trucks avg. waiting time because of physical checks at Rosslare port</t>
  </si>
  <si>
    <t>Agri-food Inbound Trucks avg. waiting time because of Security checks at Rosslare port</t>
  </si>
  <si>
    <t>Specific Product category Trucks waiting time because of Non-tariff barriers at Rosslare Port</t>
  </si>
  <si>
    <t>Specific Product category outbound Trucks avg. waiting time because of the checks at Rosslare port</t>
  </si>
  <si>
    <t>Specific Product category outbound Trucks avg. waiting time because of the documentary checks at Rosslare port</t>
  </si>
  <si>
    <t>Specific Product category Agri-food outbound Trucks avg. waiting time because of full-identity checks at Rosslare port</t>
  </si>
  <si>
    <t>Specific Product category Agri-food outbound Trucks avg. waiting time because of physical checks at Rosslare port</t>
  </si>
  <si>
    <t>Specific Product category Inbound Trucks avg. waiting time because of the checks at Rosslare port</t>
  </si>
  <si>
    <t>Specific Product category Inbound Trucks avg. waiting time because of the documentary checks at Rosslare port</t>
  </si>
  <si>
    <t>Specific Product category Inbound Trucks avg. waiting time because of full-identity checks at Rosslare port</t>
  </si>
  <si>
    <t>Specific Product category Inbound Trucks avg. waiting time because of physical checks at Rosslare port</t>
  </si>
  <si>
    <t>Specific Product category Inbound Trucks avg. waiting time because of Security checks at Rosslare port</t>
  </si>
  <si>
    <t>Agri avg waiting time on im at R</t>
  </si>
  <si>
    <t>Agri doc chk waiting time on im at R</t>
  </si>
  <si>
    <t>Agri idn chk waiting time on im at R</t>
  </si>
  <si>
    <t>Agri phy chk waiting time on im at R</t>
  </si>
  <si>
    <t>Agri sec chk waiting time on im at R</t>
  </si>
  <si>
    <t>AP avg waiting time on ex at fish</t>
  </si>
  <si>
    <t>AP avg waiting time on im at fish</t>
  </si>
  <si>
    <t>Agri avg waiting time on ex at fish</t>
  </si>
  <si>
    <t>Agri avg waiting time on im at fish</t>
  </si>
  <si>
    <t>AP avg waiting time on ex at hey</t>
  </si>
  <si>
    <t>AP avg waiting time on im at hey</t>
  </si>
  <si>
    <t>Agri avg waiting time on ex at hey</t>
  </si>
  <si>
    <t>Agri avg waiting time on im at hey</t>
  </si>
  <si>
    <t>AP avg waiting time on ex at holy</t>
  </si>
  <si>
    <t>AP avg waiting time on im at holy</t>
  </si>
  <si>
    <t>Agri avg waiting time on ex at holy</t>
  </si>
  <si>
    <t>Agri avg waiting time on im at holy</t>
  </si>
  <si>
    <t>AP avg waiting time on ex at liv</t>
  </si>
  <si>
    <t>AP avg waiting time on im at liv</t>
  </si>
  <si>
    <t>Agri avg waiting time on ex at liv</t>
  </si>
  <si>
    <t>Agri avg waiting time on im at liv</t>
  </si>
  <si>
    <t>AP avg waiting time on ex at pem</t>
  </si>
  <si>
    <t>AP avg waiting time on im at pem</t>
  </si>
  <si>
    <t>Agri avg waiting time on ex at pem</t>
  </si>
  <si>
    <t>Agri avg waiting time on im at pem</t>
  </si>
  <si>
    <t>Avg waiting time on ex at dov</t>
  </si>
  <si>
    <t>Avg waiting time on im at dov</t>
  </si>
  <si>
    <t>Avg waiting time on ex at cal</t>
  </si>
  <si>
    <t>Avg waiting time on im at cal</t>
  </si>
  <si>
    <t xml:space="preserve">Avg. waiting time of All products outbound trucks from Fishguard </t>
  </si>
  <si>
    <t xml:space="preserve">Avg. waiting time of All products inbound trucks to Fishguard </t>
  </si>
  <si>
    <t xml:space="preserve">Avg. waiting time of Agri-food outbound trucks from Fishguard </t>
  </si>
  <si>
    <t xml:space="preserve">Avg. waiting time of Agri-food inbound trucks to Fishguard </t>
  </si>
  <si>
    <t xml:space="preserve">Avg. waiting time of Studied Product category outbound trucks from Fishguard </t>
  </si>
  <si>
    <t xml:space="preserve">Avg. waiting time of Studied Product category inbound trucks to Fishguard </t>
  </si>
  <si>
    <t xml:space="preserve">Avg. waiting time of All products inbound trucks to Heysham </t>
  </si>
  <si>
    <t xml:space="preserve">Avg. waiting time of Agri-food outbound trucks from Heysham </t>
  </si>
  <si>
    <t xml:space="preserve">Avg. waiting time of Agri-food inbound trucks to Heysham </t>
  </si>
  <si>
    <t xml:space="preserve">Avg. waiting time of Studied Product category outbound trucks from Heysham </t>
  </si>
  <si>
    <t xml:space="preserve">Avg. waiting time of Studied Product category inbound trucks to Heysham </t>
  </si>
  <si>
    <t xml:space="preserve">Avg. waiting time of All products inbound trucks to Holyhead </t>
  </si>
  <si>
    <t xml:space="preserve">Avg. waiting time of Agri-food outbound trucks from Holyhead </t>
  </si>
  <si>
    <t xml:space="preserve">Avg. waiting time of Agri-food inbound trucks to Holyhead </t>
  </si>
  <si>
    <t xml:space="preserve">Avg. waiting time of Studied Product category outbound trucks from Holyhead </t>
  </si>
  <si>
    <t xml:space="preserve">Avg. waiting time of Studied Product category inbound trucks to Holyhead </t>
  </si>
  <si>
    <t xml:space="preserve">Avg. waiting time of All products outbound trucks from Heysham </t>
  </si>
  <si>
    <t xml:space="preserve">Avg. waiting time of All products outbound trucks from Holyhead </t>
  </si>
  <si>
    <t xml:space="preserve">Avg. waiting time of All products outbound trucks from Liverpool </t>
  </si>
  <si>
    <t xml:space="preserve">Avg. waiting time of All products inbound trucks to Liverpool </t>
  </si>
  <si>
    <t xml:space="preserve">Avg. waiting time of Agri-food outbound trucks from Liverpool </t>
  </si>
  <si>
    <t xml:space="preserve">Avg. waiting time of Agri-food inbound trucks to Liverpool </t>
  </si>
  <si>
    <t xml:space="preserve">Avg. waiting time of Studied Product category outbound trucks from Liverpool </t>
  </si>
  <si>
    <t xml:space="preserve">Avg. waiting time of Studied Product category inbound trucks to Liverpool </t>
  </si>
  <si>
    <t xml:space="preserve">Avg. waiting time of All products outbound trucks from Pembroke </t>
  </si>
  <si>
    <t xml:space="preserve">Avg. waiting time of All products inbound trucks to Pembroke </t>
  </si>
  <si>
    <t xml:space="preserve">Avg. waiting time of Agri-food outbound trucks from Pembroke </t>
  </si>
  <si>
    <t xml:space="preserve">Avg. waiting time of Agri-food inbound trucks to Pembroke </t>
  </si>
  <si>
    <t xml:space="preserve">Avg. waiting time of Studied Product category outbound trucks from Pembroke </t>
  </si>
  <si>
    <t xml:space="preserve">Avg. waiting time of Studied Product category inbound trucks to Pembroke </t>
  </si>
  <si>
    <t>Outbound trucks queue length from Dublin to Cherbourg port</t>
  </si>
  <si>
    <t>Outbound trucks queue length from Dublin to Rotterdam ports</t>
  </si>
  <si>
    <t>Outbound trucks queue length from Dublin to Zeebrugge</t>
  </si>
  <si>
    <t>VolCatImEULB</t>
  </si>
  <si>
    <t>VolCatExEULB</t>
  </si>
  <si>
    <t>VolCatImViaChe</t>
  </si>
  <si>
    <t>VolCatExViaChe</t>
  </si>
  <si>
    <t>VolCatImViaRott</t>
  </si>
  <si>
    <t>VolCatExViaRott</t>
  </si>
  <si>
    <t>VolCatImViaZee</t>
  </si>
  <si>
    <t>VolCatExViaZee</t>
  </si>
  <si>
    <t>VolCatImViaBil</t>
  </si>
  <si>
    <t>VolCatExViaBil</t>
  </si>
  <si>
    <t>DocChkTimeCatImIR</t>
  </si>
  <si>
    <t>PerPhyChkCatImIR</t>
  </si>
  <si>
    <t>PhyChkTimeCatImIR</t>
  </si>
  <si>
    <t>PerSecurityChkCatIR</t>
  </si>
  <si>
    <t>SecChkTimeCatImIR</t>
  </si>
  <si>
    <t>Cat avg waiting time on ex at D</t>
  </si>
  <si>
    <t>Cat doc chk waiting time on ex at D</t>
  </si>
  <si>
    <t>Cat idn chk waiting time on ex at D</t>
  </si>
  <si>
    <t>Cat phy chk waiting time on ex at D</t>
  </si>
  <si>
    <t>Cat avg waiting time on im at D</t>
  </si>
  <si>
    <t>Cat doc chk waiting time on im at D</t>
  </si>
  <si>
    <t>Cat idn chk waiting time on im at D</t>
  </si>
  <si>
    <t>Cat phy chk waiting time on im at D</t>
  </si>
  <si>
    <t>Cat sec chk waiting time on im at D</t>
  </si>
  <si>
    <t>Cat avg waiting time on ex at R</t>
  </si>
  <si>
    <t>Cat doc chk waiting time on ex at R</t>
  </si>
  <si>
    <t>Cat phy chk waiting time on ex at R</t>
  </si>
  <si>
    <t>Cat avg waiting time on im at R</t>
  </si>
  <si>
    <t>Cat idn chk waiting time on ex at R</t>
  </si>
  <si>
    <t>Cat doc chk waiting time on im at R</t>
  </si>
  <si>
    <t>Cat idn chk waiting time on im at R</t>
  </si>
  <si>
    <t>Cat phy chk waiting time on im at R</t>
  </si>
  <si>
    <t>Cat sec chk waiting time on im at R</t>
  </si>
  <si>
    <t>Cat avg waiting time on ex at fish</t>
  </si>
  <si>
    <t>Cat avg waiting time on im at fish</t>
  </si>
  <si>
    <t>Cat avg waiting time on ex at hey</t>
  </si>
  <si>
    <t>Cat avg waiting time on im at hey</t>
  </si>
  <si>
    <t>Cat avg waiting time on ex at holy</t>
  </si>
  <si>
    <t>Cat avg waiting time on im at holy</t>
  </si>
  <si>
    <t>Cat avg waiting time on ex at liv</t>
  </si>
  <si>
    <t>Cat avg waiting time on im at liv</t>
  </si>
  <si>
    <t>Cat avg waiting time on ex at pem</t>
  </si>
  <si>
    <t>Cat avg waiting time on im at pem</t>
  </si>
  <si>
    <t>Irish Ferry &amp; Stens Line</t>
  </si>
  <si>
    <t>Model Scope</t>
  </si>
  <si>
    <r>
      <t>Measurements (</t>
    </r>
    <r>
      <rPr>
        <u/>
        <sz val="20"/>
        <color theme="4"/>
        <rFont val="Calibri"/>
        <family val="2"/>
        <scheme val="minor"/>
      </rPr>
      <t>Time, tonnes, number of vessels etc…</t>
    </r>
    <r>
      <rPr>
        <u/>
        <sz val="26"/>
        <color theme="4"/>
        <rFont val="Calibri"/>
        <family val="2"/>
        <scheme val="minor"/>
      </rPr>
      <t>)</t>
    </r>
  </si>
  <si>
    <t>Transportation times of the inbound/outbound trucks and the impact on the highlighted product's shelf-life time</t>
  </si>
  <si>
    <t>Comment</t>
  </si>
  <si>
    <t>The volume of the inbound RO/RO traffic between Calais and UK is 7551000</t>
  </si>
  <si>
    <t>The volume of the outbound RO/RO traffic between UK and Calais is 10853000</t>
  </si>
  <si>
    <t>TU Dublin couldn't find clear figures on the traffic flow within the direct route between Ireland and the EU.</t>
  </si>
  <si>
    <t>User can change these values from the model's control screen to map  specific Brexit Scenarios which should be resulted from the scenario mapping session.</t>
  </si>
  <si>
    <t>Ro/Ro Trade Vol Between IR-EU (via Cherbourg)</t>
  </si>
  <si>
    <t>Ro/Ro Trade Vol Between IR-EU (via Bilbao)</t>
  </si>
  <si>
    <t>Non-tariff Barriers and Checks at IRE, GB, and EU Ports</t>
  </si>
  <si>
    <t>Percentage of inbound trucks directed to green route at Irish Ports (%)</t>
  </si>
  <si>
    <t>Percentage of Product category (e.g. Meat) inbound trucks need physical checks (red routed) at Irish Ports (%)</t>
  </si>
  <si>
    <t>Timing of physical checks on Product category (e.g. Meat) inbound trucks at Irish ports (minutes)</t>
  </si>
  <si>
    <t>Percentage of inbound trucks directed to green route at  West-EU Ports (Calais) (%)</t>
  </si>
  <si>
    <t>Number of security and document compliance officers at Dublin port</t>
  </si>
  <si>
    <t>Number of tractor used to tow an accompanied trucks at Dublin port</t>
  </si>
  <si>
    <t>Number of security and document compliance officers at Rosslare port</t>
  </si>
  <si>
    <t>Number of tractor used to tow an accompanied trucks at Rosslare port</t>
  </si>
  <si>
    <t>Ferries average capacities for the Maritime Routes between IRE, GB, and the EU</t>
  </si>
  <si>
    <t>Sea Truck &amp; P&amp;O</t>
  </si>
  <si>
    <t>Average ferry capacity between Dublin and Cherbourg ports (trailer)</t>
  </si>
  <si>
    <t>Average ferry capacity between Rosslare and Cherbourg (trailer)</t>
  </si>
  <si>
    <t>Irish Ferries</t>
  </si>
  <si>
    <t>Official documentary check cost at Irish ports</t>
  </si>
  <si>
    <t>Official physical check cost at Irish ports</t>
  </si>
  <si>
    <t>Official security check cost at Irish ports</t>
  </si>
  <si>
    <t>Ro/Ro Trade Vol Between IR-GB</t>
  </si>
  <si>
    <t>VolAllPImGB</t>
  </si>
  <si>
    <t>VolAllPExGB</t>
  </si>
  <si>
    <t>VolAgriImGB</t>
  </si>
  <si>
    <t>VolAgriExGB</t>
  </si>
  <si>
    <t>VolCatImGB</t>
  </si>
  <si>
    <t>VolCatExGB</t>
  </si>
  <si>
    <t>VolAllPImGBEU</t>
  </si>
  <si>
    <t>VolAllPExGBEU</t>
  </si>
  <si>
    <t>Import Volumes from the EU-26 to GB (tonnes)</t>
  </si>
  <si>
    <t>Export Volumes from the GB to the EU-26 (tonnes)</t>
  </si>
  <si>
    <t>Checks on Irish-Ports for All Products (Exports To GB)</t>
  </si>
  <si>
    <t>PerCusIntTrucksAPExIR</t>
  </si>
  <si>
    <t>Percentage of outbound trucks subject to customs intervention at Irish Ports (%)</t>
  </si>
  <si>
    <t>CusIntTimeAPExIR</t>
  </si>
  <si>
    <t>Checks on Irish-Ports for Agri-Products (Exports To GB)</t>
  </si>
  <si>
    <t>Percentage of outbound Agri-food trucks subject to customs intervention at Irish Ports (%)</t>
  </si>
  <si>
    <t>PerCusIntTrucksAgriExIR</t>
  </si>
  <si>
    <t>CusIntTimeAgriExIR</t>
  </si>
  <si>
    <t>PerCusIntTrucksCatExIR</t>
  </si>
  <si>
    <t>CusIntTimeCatExIR</t>
  </si>
  <si>
    <t>Percentage of outbound Product Category trucks subject to customs intervention at Irish Ports (%)</t>
  </si>
  <si>
    <t>Timing of documentary and sealed identity checks on inbound trucks at Irish ports (orange routed) (minutes)</t>
  </si>
  <si>
    <t>Timing of documentary and sealed identity checks on Agri-food inbound trucks at Irish ports (orange routed) (minutes)</t>
  </si>
  <si>
    <t>Timing of documentary and sealed identity checks on Product category (e.g. Meat) inbound trucks at Irish ports (orange routed) (minutes)</t>
  </si>
  <si>
    <t>Percentage of outbound trucks subject to customs intervention at West GB Ports (%)</t>
  </si>
  <si>
    <t>PerCusIntTrucksAPExGB-W</t>
  </si>
  <si>
    <t>CusIntTimeAPExGB-W</t>
  </si>
  <si>
    <t>Checks on West GB Ports for All Products (Exports To IRE)</t>
  </si>
  <si>
    <t>Checks on West GB Ports for Agri-food Products (Exports To IRE)</t>
  </si>
  <si>
    <t>Percentage of outbound Agri-food trucks subject to customs intervention at West GB Ports (%)</t>
  </si>
  <si>
    <t>PerCusIntTrucksAgriExGB-W</t>
  </si>
  <si>
    <t>CusIntTimeAgriExGB-W</t>
  </si>
  <si>
    <t>Checks on West GB Ports for Product category (e.g. Meat) (Exports To IRE)</t>
  </si>
  <si>
    <t>PerCusIntTrucksCatExGB-W</t>
  </si>
  <si>
    <t>CusIntTimeCatExGB-W</t>
  </si>
  <si>
    <t>Percentage of outbound product category trucks subject to customs intervention at West GB Ports (%)</t>
  </si>
  <si>
    <t>Checks on West GB Ports for All products (Imports From IRE)</t>
  </si>
  <si>
    <t>PerGreenTrucksAPImGB-W</t>
  </si>
  <si>
    <t>Checks on West-GB Ports for Agri-food products (Imports From IRE)</t>
  </si>
  <si>
    <t>Checks on West-GB ports for Product Category products (Imports From IRE)</t>
  </si>
  <si>
    <t>Checks on East GB Ports (Dover) for All Products (Exports To EU)</t>
  </si>
  <si>
    <t>PerCusIntTrucksAPExGB-E</t>
  </si>
  <si>
    <t>CusIntTimeAPExGB-E</t>
  </si>
  <si>
    <t>Percentage of outbound trucks subject to customs intervention at East GB Ports (%)</t>
  </si>
  <si>
    <t>Checks on East GB Ports (Dover) for All products (Imports From EU)</t>
  </si>
  <si>
    <t>PerCusIntTrucksAPExEU</t>
  </si>
  <si>
    <t>CusIntTimeAPExEU</t>
  </si>
  <si>
    <t>NumDAFMOfficerD</t>
  </si>
  <si>
    <t>Number of DAFM officer at Dublin port</t>
  </si>
  <si>
    <t>NumImmigrationOfficerD</t>
  </si>
  <si>
    <t>NumDAFMOfficerR</t>
  </si>
  <si>
    <t>NumImmigrationOfficerR</t>
  </si>
  <si>
    <t>Checks on West-EU Ports (Calais) for All Products (Exports To the GB)</t>
  </si>
  <si>
    <t>Checks on  West-EU Ports (Calais) for All products (Imports From the GB)</t>
  </si>
  <si>
    <t>Transit check time for all trucks flow between IRE and EU-26 through the GB Landbridge (minutes)</t>
  </si>
  <si>
    <t>Maritime Routes (Exports To GB)</t>
  </si>
  <si>
    <t>PerGBTrucksMoveD</t>
  </si>
  <si>
    <t>Percentage of outbound trucks from Dublin port to the GB market</t>
  </si>
  <si>
    <t>Maritime Routes (Imports from GB)</t>
  </si>
  <si>
    <t>Ro/Ro Trade Vol Between GB-EU</t>
  </si>
  <si>
    <t>Checks on Irish-Ports for Product Category (Exports To GB)</t>
  </si>
  <si>
    <t>Checks on Irish-Ports for All products (Imports From GB)</t>
  </si>
  <si>
    <t>Checks on Irish-Ports for Agri-food products (Imports From GB)</t>
  </si>
  <si>
    <t>Checks on Irish-Ports for Product Category products (Imports From GB)</t>
  </si>
  <si>
    <t>Percentage of inbound trucks directed to green route at west GB Ports (%)</t>
  </si>
  <si>
    <t>DocChkTimeAPImGB-W</t>
  </si>
  <si>
    <t>Timing of documentary and sealed identity checks on inbound trucks at west GB Ports (orange routed) (minutes)</t>
  </si>
  <si>
    <t>PerPhyChkAPImGB-W</t>
  </si>
  <si>
    <t>Percentage of inbound trucks need physical checks (red routed) at west GB Ports (%)</t>
  </si>
  <si>
    <t>PhyChkTimeAPImGB-W</t>
  </si>
  <si>
    <t>Timing of physical checks on inbound trucks at west GB Ports (minutes)</t>
  </si>
  <si>
    <t>PerSecurityChkAPGB-W</t>
  </si>
  <si>
    <t>SecChkTimeAPGB-W</t>
  </si>
  <si>
    <t>Post-Brexit Implication Model: Scenario Mapping &amp; Analysis</t>
  </si>
  <si>
    <t>The model mimics the Traffic flow of the inbound and outbound trucks between Ireland, GB and the EU</t>
  </si>
  <si>
    <t>The model simulates the customs, SPS, and security &amp; immigration procedures at the Irish ports, East/West GB ports, and West EU Ports Post-Brexit</t>
  </si>
  <si>
    <t>Average Waiting Time for the Trucks at the Checkpoints at Ireland, GB and EU Ports</t>
  </si>
  <si>
    <t>Customs/SPS Resource Utilisation</t>
  </si>
  <si>
    <t xml:space="preserve">Inbound/Outbound Trucks queue length for Rolling on the Vessels at the Irish, the GB, and the EU ports </t>
  </si>
  <si>
    <t>Average borders Checking Costs for the inbound trucks</t>
  </si>
  <si>
    <t>Capacity of the check resources (Customs, SPS, and immigration officers) at the Irish ports (Dublin and Rosslare ports)</t>
  </si>
  <si>
    <t>Expected changes in the trade volumes between Ireland, the Uk and EU as a result of the trade relation changes after the end of the transition period</t>
  </si>
  <si>
    <t>DocChkTimeAgriImGB-W</t>
  </si>
  <si>
    <t>PerPhyChkAgriImGB-W</t>
  </si>
  <si>
    <t>PhyChkTimeAgriImGB-W</t>
  </si>
  <si>
    <t>PerSecurityChkAgriGB-W</t>
  </si>
  <si>
    <t>SecChkTimeAgriImGB-W</t>
  </si>
  <si>
    <t>Percentage of Agri-food inbound trucks need physical checks (red routed) at west GB Ports (%)</t>
  </si>
  <si>
    <t>Timing of physical checks on Agri-food inbound trucks at west GB Ports (minutes)</t>
  </si>
  <si>
    <t>Timing of documentary and sealed identity checks on Agri-food inbound trucks at west GB Ports (Orange routed) (minutes)</t>
  </si>
  <si>
    <t>DocChkTimeCatImGB-W</t>
  </si>
  <si>
    <t>PerPhyChkCatImGB-W</t>
  </si>
  <si>
    <t>PhyChkTimeCatImGB-W</t>
  </si>
  <si>
    <t>PerSecurityChkCatGB-W</t>
  </si>
  <si>
    <t>SecChkTimeCatImGB-W</t>
  </si>
  <si>
    <t>Timing of documentary and sealed identity checks on Product category (e.g. Meat) inbound trucks at west GB Ports (Orange Routed) (minutes)</t>
  </si>
  <si>
    <t>Percentage of Product category (e.g. Meat) inbound trucks need physical checks (red routed) at west GB Ports (%)</t>
  </si>
  <si>
    <t>Timing of physical checks on Product category (e.g. Meat) inbound trucks at west GB Ports (minutes)</t>
  </si>
  <si>
    <t>Percentage of inbound trucks directed to green route at East GB Port (Dover) (%)</t>
  </si>
  <si>
    <t>Timing of documentary and sealed identity checks on inbound trucks at East GB Port (Dover)(minutes)</t>
  </si>
  <si>
    <t>Percentage of inbound trucks need physical checks (red routed) at East GB Port (Dover) (%)</t>
  </si>
  <si>
    <t>Timing of physical checks on inbound trucks at East GB Port (Dover) (minutes)</t>
  </si>
  <si>
    <t>PerGreenTrucksImGB-E</t>
  </si>
  <si>
    <t>DocCheckTimeImGB-E</t>
  </si>
  <si>
    <t>PerPhyChkImGB-E</t>
  </si>
  <si>
    <t>PhyCheckTimeImGB-E</t>
  </si>
  <si>
    <t>PerSecurityChkGB-E</t>
  </si>
  <si>
    <t>SecCheckTimeGB-E</t>
  </si>
  <si>
    <t xml:space="preserve">This value will be specified based on the average shelf-life time of a specific product category that would be studied in case studies </t>
  </si>
  <si>
    <t xml:space="preserve">There is no existing information regarding the borders checking cost applied on the inbound flow to Ireland from the GB so far. Assumptions could be discussed by the stakeholders in the scenario mapping sessions. The model provides the flexibility to test the impact of any assumptions on the performance indicators  </t>
  </si>
  <si>
    <t>Transportation Time for All products outbound trucks from IRE to GB</t>
  </si>
  <si>
    <t>Transportation time all P import from GB</t>
  </si>
  <si>
    <t>Transportation Time for All Products inbound trucks from GB to IRE</t>
  </si>
  <si>
    <t>Transportation Time for Agri-food outbound trucks from IRE to GB</t>
  </si>
  <si>
    <t>Transportation time agri import from GB</t>
  </si>
  <si>
    <t>Transportation Time for Agri-food inbound trucks from GB to IRE</t>
  </si>
  <si>
    <t>Transportation Time for studied product category outbound trucks from IRE to GB</t>
  </si>
  <si>
    <t>Transportation time cat import from GB</t>
  </si>
  <si>
    <t>Transportation Time for studied product category inbound  trucks from GB to IRE</t>
  </si>
  <si>
    <t>Remaining shelf life time for the outbound studied product category exported to the GB</t>
  </si>
  <si>
    <t>Remaining shelf life time for the inbound studied product category imported from the GB</t>
  </si>
  <si>
    <t>Trucks vessel queue length D to GB</t>
  </si>
  <si>
    <t>Outbound trucks queue length from Dublin to the GB port</t>
  </si>
  <si>
    <t>Trucks vessel queue length R to GB</t>
  </si>
  <si>
    <t>Outbound trucks queue length from Rosslare to the GB port</t>
  </si>
  <si>
    <t>Number of DAFM officer at Rosslare port</t>
  </si>
  <si>
    <t>Transit Checks at GB Western and Eastern Ports</t>
  </si>
  <si>
    <t>Timing of physical checks for the  trucks flow between IRE and EU-26 through Landbridge at the GB ports  (minutes)</t>
  </si>
  <si>
    <t>Transportation Time for inbound and outbound Trucks between Ireland, GB, and EU (Landbridge and Direct Route)</t>
  </si>
  <si>
    <t>The process of rolling-on and rolling-off trucks on the vessels at Irish ports is simulated</t>
  </si>
  <si>
    <t>Remaining Shelf-life time: In case of highlighting a specific product category</t>
  </si>
  <si>
    <t xml:space="preserve">Hypothetical Levels of intervention and timing for  Customs, SPS, and Immigration checks for both Inbound and outbound trucks to/from Irish ports. </t>
  </si>
  <si>
    <t xml:space="preserve">Expected Levels of intervention and timing for  Customs, SPS, and Immigration checks for both Inbound and outbound trucks to/from GB ports. </t>
  </si>
  <si>
    <t xml:space="preserve">The change in the pattern of using the maritime routes from Ireland to  GB, after the end of the transition period, given the readiness of these ports to apply border checks </t>
  </si>
  <si>
    <t>Percentage of Product category (e.g. Meat)  inbound trucks for security, license compliance and immigration checks at Irish Ports (%)</t>
  </si>
  <si>
    <t>Timing of the security, license compliance and immigration checks on Product category (e.g. Meat) inbound trucks at Irish ports (minutes)</t>
  </si>
  <si>
    <t>Timing of Customs Intervention on outbound trucks at West GB ports (minutes)</t>
  </si>
  <si>
    <t>Timing of Customs Intervention on outbound Agri-food trucks at West GB ports (minutes)</t>
  </si>
  <si>
    <t>Timing of Customs Intervention on outbound product category trucks at West GB ports (minutes)</t>
  </si>
  <si>
    <t>Percentage of inbound trucks for security, license compliance and immigration checks at west GB Ports (%)</t>
  </si>
  <si>
    <t>Timing of the security, license compliance and immigration checks on inbound trucks at west GB Ports (minutes)</t>
  </si>
  <si>
    <t>Percentage of Agri-food inbound trucks for security, license compliance and immigration checks at west GB Ports (%)</t>
  </si>
  <si>
    <t>Timing of the security, license compliance and immigration checks on Agri-food inbound trucks at west GB Ports (minutes)</t>
  </si>
  <si>
    <t>Percentage of Product category (e.g. Meat)  inbound trucks for security, license compliance and immigration checks at west GB Ports (%)</t>
  </si>
  <si>
    <t>Timing of the security, license compliance and immigration checks on Product category (e.g. Meat) inbound trucks at west GB Ports (minutes)</t>
  </si>
  <si>
    <t>Timing of Customs Intervention on outbound trucks at East GB ports (minutes)</t>
  </si>
  <si>
    <t>Percentage of inbound trucks for security, license compliance and immigration check  at East GB Port (Dover) (%)</t>
  </si>
  <si>
    <t>Timing of the security, license compliance and immigration checks on inbound trucks at East GB Port (Dover) (minutes)</t>
  </si>
  <si>
    <t>Timing of the security, license compliance and immigration checks on inbound trucks at West-EU Ports (Calais) (minutes)</t>
  </si>
  <si>
    <t>Percentage of the trucks selected for physical checks at the GB ports ( if  borders checks are applied on the trucks using Landbridge)   (%)</t>
  </si>
  <si>
    <t>Percentage of the trucks selected for security checks at the GB ports (if  borders checks are applied on the trucks using Landbridge)  (%)</t>
  </si>
  <si>
    <t>Timing of security, license compliance and immigration checks for the  trucks flow between IRE and EU-26 through Landbridge at the GB ports  (minutes)</t>
  </si>
  <si>
    <t xml:space="preserve">These Parameters could be used to test hypothetical scenarios regarding higher utilisation of Rosslare port for the outbound trucks flow to GB. </t>
  </si>
  <si>
    <t xml:space="preserve">It was indicated in different interviews with industrial partners that the percentage of the companies that use unaccompanied trucks is increasing to cope with expected delays at the Landbridge after the transition period. Also, it is seen as important change to the transportation practices if the companies decided to use the direct route to Europe.  </t>
  </si>
  <si>
    <t>Ro/Ro Trade Vol Between IR-EU (via Landbridge)</t>
  </si>
  <si>
    <t>Import Volumes for all products from EU to IRE through Landbridge (tonnes)</t>
  </si>
  <si>
    <t>Based on the discussion with the industry stakeholders, it was mentioned that it is expected that 20% of the landbridge traffic will be replaced with the direct route traffic to EU Post-Brexit. Although, some companies started to use the direct routes to EU, there is no clear statistics regarding this change so far. 
However the model provides flexibility to the user to change these values to present any related scenarios and investigate their impact on the transportation performance if needed. More discussion between stakeholders could be raised in the proposed scenario mapping sessions regarding this issue.</t>
  </si>
  <si>
    <t>According to the As-Is scenario, no Checks on outbound or inbound trucks that flow between Ireland, the UK and the EU is applied. Non-tariff barriers are inevitable after the end of the transition period. Since there is no precedent situations where non-tariff barriers are applied between Ireland, the UK and the EU, there is no clear indications about the values of these parameters so far. However, the project stakeholders can discuss hypothetical scenarios of the non-tariff barriers after the end of the transition period and assume the related rates of customs/SPS intervention, timing of intervention, and check resource capacities accordingly. User can change these values from the control screen to map a specific Brexit Scenario</t>
  </si>
  <si>
    <t>Timing of Customs Intervention on outbound trucks at Irish ports (minutes)</t>
  </si>
  <si>
    <t>Eurostat: https://ec.europa.eu/Eurostat/data/database?p_p_id=NavTreeportletprod_WAR_NavTreeportletprod_INSTANCE_nPqeVbPXRmWQ&amp;p_p_lifecycle=0&amp;p_p_state=normal&amp;p_p_mode=view&amp;p_p_col_id=column-2&amp;p_p_col_pos=1&amp;p_p_col_count=2
Path
Database by themes, Transport, Maritime Transport, Maritime transport-goods-  detailed annual and quarterly result, Detailed tables per each reporting country (main ports) by direction, partner entity, type of cargo and nationality of registration of vessels - annual data (mar_go_am_detl), Gross weight of goods transported to/from main ports - France (mar_go_am_uk)	
Filter 
Time 2018
Nationality of Registration of Vessel: Total
Direction of Flow: Outward/Inward
Type of Cargo: RO/RO Self and non-self propelled units
Maritime entity (partner): UK
Maritime entity (reporting): Calais</t>
  </si>
  <si>
    <t>Timing of Customs Intervention on outbound Agri-food trucks at Irish ports (minutes)</t>
  </si>
  <si>
    <t>Timing of Customs Intervention on outbound Product Category trucks at Irish ports (minutes)</t>
  </si>
  <si>
    <t>Percentage of inbound trucks for security, license compliance and immigration check  at  West-EU Ports (Calais) (%)</t>
  </si>
  <si>
    <t>The model mimics the Traffic flow of the inbound and outbound trucks between Ireland and the EU-26 through Landbridge and direct routes</t>
  </si>
  <si>
    <t>The model presents the main maritime routes which links Ireland with GB and the continental EU (East/West Routes, Landbridge, and Direct Maritime Routes)</t>
  </si>
  <si>
    <t>The frequencies and capacities of the vessels that serve the maritime routes between Ireland, GB and EU are modelled</t>
  </si>
  <si>
    <t>The model considers the different transportation modes for trucks, both accompanied and unaccompanied</t>
  </si>
  <si>
    <t>Expected level of Intervention and timing of transit checks in the UK Landbridge after the transition period</t>
  </si>
  <si>
    <t xml:space="preserve">Hypothetical rate of change in Ireland's maritime traffic from using the Landbridge to the direct route to the continent </t>
  </si>
  <si>
    <t>Expected changes in the ferries capacities or frequency of sailing (serving Landbridge and direct routes) after the end of the transition period</t>
  </si>
  <si>
    <t xml:space="preserve">Expected rate of change from accompanied to unaccompanied trucks as a response to the expected longer journey time from Ireland to the uk and EU after the end of the transition period </t>
  </si>
  <si>
    <t>Border checking cost applied on  inbound trucks after the end of the transition period</t>
  </si>
  <si>
    <t xml:space="preserve">Avg Transportation Time for all products trucks flow between Ireland and the GB </t>
  </si>
  <si>
    <t>Transportation time all P export to GB</t>
  </si>
  <si>
    <t xml:space="preserve">Avg Transportation Time for Agri-food trucks flow between Ireland and the GB </t>
  </si>
  <si>
    <t>Transportation time agri export to GB</t>
  </si>
  <si>
    <t xml:space="preserve">Avg Transportation Time for Product Category (e.g. Meat) trucks flow between Ireland and the GB </t>
  </si>
  <si>
    <t>Transportation time cat export to GB</t>
  </si>
  <si>
    <t>Remaining Shelf-life Time for the studied Product Category exported/imported to the GB market</t>
  </si>
  <si>
    <t>Remaining shelf life cat export to GB</t>
  </si>
  <si>
    <t>Remaining shelf life cat import from GB</t>
  </si>
  <si>
    <t>Avg Transportation Time between Ireland and EU through Landbridge</t>
  </si>
  <si>
    <t>Transportation time export to EULB</t>
  </si>
  <si>
    <t>Transportation Time for all outbound trucks (All products, Agri-food, specific product category) from IRE to EU through Landbridge</t>
  </si>
  <si>
    <t>Remaining Shelf-life Time for the studied Product Category exported/imported to the EU market through the Landbridge</t>
  </si>
  <si>
    <t>Remaining shelf life cat export to EULB</t>
  </si>
  <si>
    <t>Remaining shelf life time for the outbound studied product category exported to the EU through Landbridge</t>
  </si>
  <si>
    <t>Remaining shelf life cat import from EULB</t>
  </si>
  <si>
    <t>Avg Transportation Time between Ireland and EU through Cherbourg</t>
  </si>
  <si>
    <t>Transportation time export to EU che</t>
  </si>
  <si>
    <t>Transportation Time for all outbound trucks (All products, Agri-food, specific product category) from IRE to EU through Cherbourg</t>
  </si>
  <si>
    <t>Remaining Shelf-life Time for the studied Product Category exported/imported to the EU market through Bilbao</t>
  </si>
  <si>
    <t>Remaining shelf life cat export to EU che</t>
  </si>
  <si>
    <t>Remaining shelf life time for the outbound studied product category exported to the EU through Cherbourg</t>
  </si>
  <si>
    <t>Remaining shelf life cat import from EU che</t>
  </si>
  <si>
    <t>Remaining shelf life time for the inbound studied product category imported from the EU through Cherbourg</t>
  </si>
  <si>
    <t>Avg Transportation Time between Ireland and EU through Rotterdam and Zeebrugge</t>
  </si>
  <si>
    <t>Transportation time export to EU or ze</t>
  </si>
  <si>
    <t>Transportation Time for all outbound trucks (All products, Agri-food, specific product category) from IRE to EU through Rotterdam and Zeebrugge</t>
  </si>
  <si>
    <t>Transportation time import from EU or ze</t>
  </si>
  <si>
    <t>Remaining shelf life cat export to EU or ze</t>
  </si>
  <si>
    <t>Remaining shelf life time for the outbound studied product category exported to the EU through Rotterdam and Zeebrugge</t>
  </si>
  <si>
    <t>Remaining shelf life cat import from EU or ze</t>
  </si>
  <si>
    <t>Remaining shelf life time for the inbound studied product category imported from the EU through Rotterdam and Zeebrugge</t>
  </si>
  <si>
    <t>Avg Transportation Time between Ireland and EU through Bilbao</t>
  </si>
  <si>
    <t>Transportation time export to EU bill</t>
  </si>
  <si>
    <t>Transportation time import from EU bill</t>
  </si>
  <si>
    <t>Remaining shelf life cat export to EU bill</t>
  </si>
  <si>
    <t>Remaining shelf life cat import from EU bill</t>
  </si>
  <si>
    <t xml:space="preserve">Trucks waiting time because of Non-tariff barriers at EU and the GB Port including (trucks waiting time because of customs, SPS, and Security and Immigration Checks) </t>
  </si>
  <si>
    <t>Resource utilisation at Dublin and Rosslare Port including ( Custom officers, SPS officers, Security check officers, and Tractors towing unaccompanied trucks)</t>
  </si>
  <si>
    <t>SecurityOfficer Utilisation</t>
  </si>
  <si>
    <t>Trucks Queue length for Ferries</t>
  </si>
  <si>
    <t>Outbound trucks queue length from Rosslare to Cherbourg ports</t>
  </si>
  <si>
    <t>Trucks vessel queue length R to bill</t>
  </si>
  <si>
    <t>Outbound trucks queue length from Rosslare to Bilbao ports</t>
  </si>
  <si>
    <t>Outbound trucks queue length from Cherbourg to Dublin port</t>
  </si>
  <si>
    <t>Trucks vessel queue length bill to R</t>
  </si>
  <si>
    <t>Outbound trucks queue length from Bilbao to Rosslareport</t>
  </si>
  <si>
    <r>
      <t xml:space="preserve">Assumptions </t>
    </r>
    <r>
      <rPr>
        <u/>
        <sz val="18"/>
        <color theme="4"/>
        <rFont val="Calibri (Body)"/>
      </rPr>
      <t>(to be determined by the project stakeholders based on the discussions in scenario mapping/"what-if" analysis sessions)</t>
    </r>
  </si>
  <si>
    <t>PerLBTrucksMoveToHey</t>
  </si>
  <si>
    <t>PerLBTrucksMoveToLiv</t>
  </si>
  <si>
    <t>PerLBTrucksMoveToHoly</t>
  </si>
  <si>
    <t>PerLBTrucksMoveToFish</t>
  </si>
  <si>
    <t>PerLBTrucksMoveToPem</t>
  </si>
  <si>
    <t>CSO Information</t>
  </si>
  <si>
    <r>
      <rPr>
        <sz val="11"/>
        <color rgb="FFFF0000"/>
        <rFont val="Calibri"/>
        <family val="2"/>
      </rPr>
      <t>GB - Ireland	7,384,000</t>
    </r>
    <r>
      <rPr>
        <sz val="11"/>
        <color indexed="8"/>
        <rFont val="Calibri"/>
        <family val="2"/>
      </rPr>
      <t xml:space="preserve">
Holyhead - Dublin = 3,470,000
Liverpool - Dublin = 2,982,000
Heysham - Dublin = 356,000
Fishguard - Rosslare = 247,000
Pembroke - Rosslare = 481,000</t>
    </r>
  </si>
  <si>
    <r>
      <rPr>
        <sz val="11"/>
        <color rgb="FFFF0000"/>
        <rFont val="Calibri"/>
        <family val="2"/>
      </rPr>
      <t xml:space="preserve">Ireland - GB = 6,482,000
</t>
    </r>
    <r>
      <rPr>
        <sz val="11"/>
        <color indexed="8"/>
        <rFont val="Calibri"/>
        <family val="2"/>
      </rPr>
      <t>Dublin - Holyhead = 2,846,000
Dublin - Liverpool = 2,496,000
Dublin- Heysham = 273,000
Rosslare - Fishguard = 330,000
Rosslare - Pembroke = 667,000</t>
    </r>
  </si>
  <si>
    <r>
      <t xml:space="preserve">The calculated volumes of the Agri-food products is based on the Agri-food import and Export figures between Ireland and the GB. The data is provided by CSO Ireland. Based on DAFM notification in the link ( https://www.agriculture.gov.ie/brexit/preparingforbrexit/faqsforcommodities/) the following products categories are subject to SPS checks:
Animal&amp; Animal Products
Plant &amp; Plant Products
Timber &amp; Timber Products
Fishary Products
Animal Feed
Fertilizers
Based on the data provided by CSO, the division codes that were considered as Agri-food products and will be subject to SPS checks include:
00 - Live animals other than animals of Division 03
01 - Meat &amp; meat preparations
02 - Dairy products &amp; birds’ eggs
03 - Fish, crustaceans, molluscs and preparations thereof
05 - Vegetables &amp; fruit
08 - Feeding stuff for animals (excl. unmilled cereals)
22 - Oil seeds &amp; oleaginous fruits
24 - Cork &amp; Wood
27 - Crude fertilisers &amp; minerals, excl. coal, petroleum etc.
29 - Crude animal &amp; vegetable materials nes
41 - Animal oils &amp; fats
43 - Animal or vegetable materials nes
56 Fertilisers
</t>
    </r>
    <r>
      <rPr>
        <b/>
        <sz val="12"/>
        <color rgb="FF000000"/>
        <rFont val="Calibri"/>
        <family val="2"/>
      </rPr>
      <t>The Export to GB for 2018 would equal 1,595,965
The import from GB for 2018 would equal  1,957,021</t>
    </r>
    <r>
      <rPr>
        <sz val="12"/>
        <color indexed="8"/>
        <rFont val="Calibri"/>
        <family val="2"/>
      </rPr>
      <t xml:space="preserve">
All volumes of Agri-food products move between Ireland and GB are considred moving by RO/RO trade</t>
    </r>
  </si>
  <si>
    <t>Import Volumes for Meat category (e.g. Meat) from GB to IRE (tonnes)</t>
  </si>
  <si>
    <t>Export Volumes for Meat category (e.g. Meat) from GB to IRE (tonnes)</t>
  </si>
  <si>
    <t>Import Volumes for Dairy product category from GB to IRE (tonnes)</t>
  </si>
  <si>
    <t>Export Volumes for Dairy product category from GB to IRE (tonnes)</t>
  </si>
  <si>
    <t>Import Volumes for Fish product category from GB to IRE (tonnes)</t>
  </si>
  <si>
    <t>Export Volumes for Fish product category from GB to IRE (tonnes)</t>
  </si>
  <si>
    <t xml:space="preserve">he objective was to collect the gross weight of the goods that are moved by RO/RO trucks between Ireland ports (Dublin and Rosslare) and the EU ports at Belgium, Spain, Netherland, France, and Germany, Portugal (the EU countries that have data about the trade with Ireland). CSO source doesn't provide this data and instead it shows the RO/RO trucks flow between Ireland and the EU ports in general. Hence, Eurostat Database were used to collect this data. The Collected data from Eurostat was compared with the CSO data (RO/RO traffic between Ireland and other EU countries 2018) and the values were found close enough. According to CSO (Volumes of inward RO/RO traffic = 1,343,000 and Volumes of outward RO/RO traffic = 835,000). 
The trade between Ireland and EU take many other modes including Dry-bulk, LO/LO, Liquid-bulk and others. The percentage of RO/RO truck to the other transportation modes are 11% in the inward flow to Ireland and 13% in the outward flow from Ireland.    </t>
  </si>
  <si>
    <r>
      <t xml:space="preserve">The calculated volumes of the Agri-food products is based on the Agri-food import and Export figures between Ireland and the GB. The data is provided by CSO Ireland. Based on DAFM notification in the link ( https://www.agriculture.gov.ie/brexit/preparingforbrexit/faqsforcommodities/) the following products categories are subject to SPS checks:
Animal&amp; Animal Products
Plant &amp; Plant Products
Timber &amp; Timber Products
Fishary Products
Animal Feed
Fertilizers
Based on the data provided by CSO, the division codes that were considered as Agri-food products and will be subject to SPS checks include:
00 - Live animals other than animals of Division 03
01 - Meat &amp; meat preparations
02 - Dairy products &amp; birds’ eggs
03 - Fish, crustaceans, molluscs and preparations thereof
05 - Vegetables &amp; fruit
08 - Feeding stuff for animals (excl. unmilled cereals)
22 - Oil seeds &amp; oleaginous fruits
24 - Cork &amp; Wood
27 - Crude fertilisers &amp; minerals, excl. coal, petroleum etc.
29 - Crude animal &amp; vegetable materials nes
41 - Animal oils &amp; fats
43 - Animal or vegetable materials nes
56 Fertilisers
</t>
    </r>
    <r>
      <rPr>
        <b/>
        <sz val="12"/>
        <color rgb="FF000000"/>
        <rFont val="Calibri"/>
        <family val="2"/>
      </rPr>
      <t>The Export to EU for 2018 would equal 1,002,354
The import from GB for 2018 would equal  3,820,998</t>
    </r>
    <r>
      <rPr>
        <sz val="12"/>
        <color indexed="8"/>
        <rFont val="Calibri"/>
        <family val="2"/>
      </rPr>
      <t xml:space="preserve">
However this trade volume is transported between Ireland and EU using various transportation modes. To calculate the volumes moved through the RO/RO method, the Export and import volumes will be multiplied by 0.13 and 0.11 respectively according to cells E15 and E16</t>
    </r>
  </si>
  <si>
    <t>Import Volumes for specific Meat from EU to IRE through landbridge (tonnes)</t>
  </si>
  <si>
    <t>Export Volumes for specific Meat (e.g. Meat) from IRE to EU through landbridge (tonnes)</t>
  </si>
  <si>
    <t>Import Volumes for specific Dairy from EU to IRE through landbridge (tonnes)</t>
  </si>
  <si>
    <t>Export Volumes for specific Dairy from IRE to EU through landbridge (tonnes)</t>
  </si>
  <si>
    <t>Import Volumes for Fish from EU to IRE through landbridge (tonnes)</t>
  </si>
  <si>
    <t>Export Volumes for Fish from IRE to EU through landbridge (tonnes)</t>
  </si>
  <si>
    <t>TU Dublin reviewed the data of the maritime routes between Irish, the GB and the EU ports. Based on the revision it was found that:
For the flow from Ireland to GB ports
1- Total RO/RO volumes move from Dublin to the GB ports (Holyhead Heysham, and Liverpool) = 5,615,000 ton
2- Total RO/RO volumes move from Rosslare to the GB ports (Fishguard and pembroke) = 997,000 ton
3- Total outbound flow from Ireland to GB = 6,482,000 ton 
4- Percentage = 86% of the outbound volumes to the GB use Dublin port and 13% use Rosslare Port</t>
  </si>
  <si>
    <t>TU Dublin reviewed the data of the maritime routes between Dublin/Rosslare ports and the EU countries. Based on the revision it was found that:
For the flow from Ireland to the EU ports
1- Total RO/RO volumes move from Dublin to the EU ports = 599,000 ton
2- Total RO/RO volumes move from Rosslare the EU ports (Belgium, Netherland, France, Germany, Spain, Portugal) = 202,000 ton
3- Total outbound flow from Ireland to EU = 835,000 ton 
4- Percentage = 74% of the outbound volumes to the EU use Dublin port and 25% use Rosslare Port</t>
  </si>
  <si>
    <t>These values are based on the Inbound calculation of the RO/RO Traffic between GB and Ireland. It was found  that the outbound RO/RO traffic from GB ports to Ireland are as follows (based on the Euro stat) database:
1- Outbound RO/RO traffic from Liverpool to Dublin = 2,982,000 ton
2- Outbound RO/RO traffic from Holyhead to Dublin = 3,470,000 ton
3- Outbound RO/RO traffic from Heysham to Dublin = 356,000 ton
4- Outbound RO/RO traffic from Fishguard to Rosslare = 247,000 ton
5- Outbound RO/RO traffic from pembroke to Rosslare = 481,000 ton
6- Total volumes received from GB to Ireland = 7,384,000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</si>
</sst>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indexed="8"/>
      <name val="Calibri"/>
      <family val="2"/>
      <scheme val="minor"/>
    </font>
    <font>
      <sz val="11"/>
      <color indexed="8"/>
      <name val="Calibri"/>
      <family val="2"/>
    </font>
    <font>
      <b/>
      <sz val="11"/>
      <name val="Calibri"/>
      <family val="2"/>
    </font>
    <font>
      <sz val="11"/>
      <color rgb="FF000000"/>
      <name val="Calibri"/>
      <family val="2"/>
      <scheme val="minor"/>
    </font>
    <font>
      <sz val="10"/>
      <color rgb="FF000000"/>
      <name val="Calibri"/>
      <family val="2"/>
      <scheme val="minor"/>
    </font>
    <font>
      <sz val="11"/>
      <color indexed="8"/>
      <name val="Calibri"/>
      <family val="2"/>
    </font>
    <font>
      <sz val="10"/>
      <color indexed="8"/>
      <name val="Calibri (Body)"/>
    </font>
    <font>
      <b/>
      <sz val="10"/>
      <name val="Calibri (Body)"/>
    </font>
    <font>
      <sz val="10"/>
      <color rgb="FF000000"/>
      <name val="Calibri (Body)"/>
    </font>
    <font>
      <sz val="26"/>
      <color indexed="8"/>
      <name val="Calibri"/>
      <family val="2"/>
      <scheme val="minor"/>
    </font>
    <font>
      <sz val="12"/>
      <color indexed="8"/>
      <name val="Calibri"/>
      <family val="2"/>
      <scheme val="minor"/>
    </font>
    <font>
      <sz val="12"/>
      <color indexed="8"/>
      <name val="Calibri"/>
      <family val="2"/>
    </font>
    <font>
      <sz val="18"/>
      <name val="Calibri Light"/>
      <family val="2"/>
      <scheme val="major"/>
    </font>
    <font>
      <u/>
      <sz val="26"/>
      <color theme="4"/>
      <name val="Calibri"/>
      <family val="2"/>
      <scheme val="minor"/>
    </font>
    <font>
      <u/>
      <sz val="20"/>
      <color theme="4"/>
      <name val="Calibri"/>
      <family val="2"/>
      <scheme val="minor"/>
    </font>
    <font>
      <sz val="20"/>
      <color theme="1"/>
      <name val="Calibri"/>
      <family val="2"/>
      <scheme val="minor"/>
    </font>
    <font>
      <u/>
      <sz val="36"/>
      <color theme="5"/>
      <name val="Calibri"/>
      <family val="2"/>
      <scheme val="minor"/>
    </font>
    <font>
      <sz val="11"/>
      <color indexed="8"/>
      <name val="Calibri"/>
      <family val="2"/>
      <scheme val="minor"/>
    </font>
    <font>
      <sz val="11"/>
      <color rgb="FFFF0000"/>
      <name val="Calibri"/>
      <family val="2"/>
    </font>
    <font>
      <u/>
      <sz val="18"/>
      <color theme="4"/>
      <name val="Calibri (Body)"/>
    </font>
    <font>
      <b/>
      <sz val="12"/>
      <color rgb="FF000000"/>
      <name val="Calibri"/>
      <family val="2"/>
    </font>
  </fonts>
  <fills count="10">
    <fill>
      <patternFill patternType="none"/>
    </fill>
    <fill>
      <patternFill patternType="gray125"/>
    </fill>
    <fill>
      <patternFill patternType="solid">
        <fgColor rgb="FFBDD7EE"/>
      </patternFill>
    </fill>
    <fill>
      <patternFill patternType="none">
        <fgColor rgb="FFC6E0B4"/>
      </patternFill>
    </fill>
    <fill>
      <patternFill patternType="solid">
        <fgColor rgb="FFC6E0B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5" tint="0.39997558519241921"/>
        <bgColor rgb="FF000000"/>
      </patternFill>
    </fill>
    <fill>
      <patternFill patternType="solid">
        <fgColor theme="0"/>
        <bgColor indexed="64"/>
      </patternFill>
    </fill>
    <fill>
      <patternFill patternType="solid">
        <fgColor theme="0"/>
        <bgColor rgb="FFC6E0B4"/>
      </patternFill>
    </fill>
  </fills>
  <borders count="32">
    <border>
      <left/>
      <right/>
      <top/>
      <bottom/>
      <diagonal/>
    </border>
    <border>
      <left/>
      <right/>
      <top style="medium">
        <color auto="1"/>
      </top>
      <bottom/>
      <diagonal/>
    </border>
    <border>
      <left/>
      <right/>
      <top style="medium">
        <color auto="1"/>
      </top>
      <bottom style="thin">
        <color auto="1"/>
      </bottom>
      <diagonal/>
    </border>
    <border>
      <left style="medium">
        <color auto="1"/>
      </left>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medium">
        <color auto="1"/>
      </top>
      <bottom style="medium">
        <color auto="1"/>
      </bottom>
      <diagonal/>
    </border>
    <border>
      <left style="medium">
        <color indexed="64"/>
      </left>
      <right style="thin">
        <color indexed="64"/>
      </right>
      <top/>
      <bottom style="thin">
        <color indexed="64"/>
      </bottom>
      <diagonal/>
    </border>
    <border>
      <left style="medium">
        <color auto="1"/>
      </left>
      <right style="thin">
        <color auto="1"/>
      </right>
      <top style="thin">
        <color auto="1"/>
      </top>
      <bottom style="medium">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medium">
        <color auto="1"/>
      </right>
      <top style="medium">
        <color auto="1"/>
      </top>
      <bottom style="thin">
        <color auto="1"/>
      </bottom>
      <diagonal/>
    </border>
    <border>
      <left/>
      <right style="medium">
        <color auto="1"/>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medium">
        <color indexed="64"/>
      </left>
      <right/>
      <top/>
      <bottom style="thin">
        <color indexed="64"/>
      </bottom>
      <diagonal/>
    </border>
  </borders>
  <cellStyleXfs count="2">
    <xf numFmtId="0" fontId="0" fillId="0" borderId="0"/>
    <xf numFmtId="0" fontId="17" fillId="3" borderId="0"/>
  </cellStyleXfs>
  <cellXfs count="132">
    <xf numFmtId="0" fontId="0" fillId="0" borderId="0" xfId="0"/>
    <xf numFmtId="0" fontId="1" fillId="0" borderId="5" xfId="0" applyFont="1" applyBorder="1"/>
    <xf numFmtId="0" fontId="6" fillId="0" borderId="0" xfId="0" applyFont="1"/>
    <xf numFmtId="0" fontId="7" fillId="2" borderId="7" xfId="0" applyFont="1" applyFill="1" applyBorder="1" applyAlignment="1">
      <alignment horizontal="center"/>
    </xf>
    <xf numFmtId="0" fontId="6" fillId="0" borderId="4" xfId="0" applyFont="1" applyBorder="1"/>
    <xf numFmtId="0" fontId="8" fillId="0" borderId="4" xfId="0" applyFont="1" applyBorder="1"/>
    <xf numFmtId="0" fontId="6" fillId="0" borderId="5" xfId="0" applyFont="1" applyBorder="1"/>
    <xf numFmtId="0" fontId="1" fillId="0" borderId="5" xfId="0" applyFont="1" applyBorder="1" applyAlignment="1">
      <alignment horizontal="left" vertical="center"/>
    </xf>
    <xf numFmtId="0" fontId="0" fillId="0" borderId="0" xfId="0"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3" fillId="0" borderId="5" xfId="0" applyFont="1" applyBorder="1" applyAlignment="1">
      <alignment horizontal="left" vertical="center"/>
    </xf>
    <xf numFmtId="0" fontId="3" fillId="0" borderId="21" xfId="0" applyFont="1" applyBorder="1" applyAlignment="1">
      <alignment horizontal="left" vertical="center"/>
    </xf>
    <xf numFmtId="0" fontId="1" fillId="0" borderId="22" xfId="0" applyFont="1" applyBorder="1" applyAlignment="1">
      <alignment horizontal="left" vertical="center"/>
    </xf>
    <xf numFmtId="0" fontId="15" fillId="0" borderId="0" xfId="0" applyFont="1" applyAlignment="1">
      <alignment horizontal="left" vertical="center" wrapText="1" readingOrder="1"/>
    </xf>
    <xf numFmtId="0" fontId="2" fillId="2" borderId="7" xfId="1" applyFont="1" applyFill="1" applyBorder="1" applyAlignment="1">
      <alignment horizontal="center" vertical="center" wrapText="1"/>
    </xf>
    <xf numFmtId="0" fontId="2" fillId="2" borderId="7" xfId="1" applyFont="1" applyFill="1" applyBorder="1" applyAlignment="1">
      <alignment horizontal="left" vertical="center" wrapText="1"/>
    </xf>
    <xf numFmtId="0" fontId="2" fillId="2" borderId="18" xfId="1" applyFont="1" applyFill="1" applyBorder="1" applyAlignment="1">
      <alignment horizontal="center" vertical="center" wrapText="1"/>
    </xf>
    <xf numFmtId="0" fontId="2" fillId="2" borderId="27" xfId="1" applyFont="1" applyFill="1" applyBorder="1" applyAlignment="1">
      <alignment horizontal="center" vertical="center" wrapText="1"/>
    </xf>
    <xf numFmtId="0" fontId="2" fillId="2" borderId="19" xfId="1" applyFont="1" applyFill="1" applyBorder="1" applyAlignment="1">
      <alignment horizontal="center" vertical="center" wrapText="1"/>
    </xf>
    <xf numFmtId="0" fontId="17" fillId="3" borderId="0" xfId="1" applyAlignment="1">
      <alignment vertical="center"/>
    </xf>
    <xf numFmtId="0" fontId="2" fillId="5" borderId="11" xfId="1" applyFont="1" applyFill="1" applyBorder="1" applyAlignment="1">
      <alignment vertical="center" wrapText="1"/>
    </xf>
    <xf numFmtId="0" fontId="2" fillId="5" borderId="11" xfId="1" applyFont="1" applyFill="1" applyBorder="1" applyAlignment="1">
      <alignment horizontal="left" vertical="center" wrapText="1"/>
    </xf>
    <xf numFmtId="0" fontId="2" fillId="4" borderId="13" xfId="1" applyFont="1" applyFill="1" applyBorder="1" applyAlignment="1">
      <alignment vertical="center" wrapText="1"/>
    </xf>
    <xf numFmtId="0" fontId="2" fillId="4" borderId="4" xfId="1" applyFont="1" applyFill="1" applyBorder="1" applyAlignment="1">
      <alignment vertical="center" wrapText="1"/>
    </xf>
    <xf numFmtId="0" fontId="2" fillId="4" borderId="14" xfId="1" applyFont="1" applyFill="1" applyBorder="1" applyAlignment="1">
      <alignment horizontal="left" vertical="center" wrapText="1"/>
    </xf>
    <xf numFmtId="0" fontId="2" fillId="4" borderId="11" xfId="1" applyFont="1" applyFill="1" applyBorder="1" applyAlignment="1">
      <alignment horizontal="left" vertical="center" wrapText="1"/>
    </xf>
    <xf numFmtId="0" fontId="1" fillId="3" borderId="5" xfId="1" applyFont="1" applyBorder="1" applyAlignment="1">
      <alignment vertical="center"/>
    </xf>
    <xf numFmtId="0" fontId="1" fillId="3" borderId="12" xfId="1" applyFont="1" applyBorder="1" applyAlignment="1">
      <alignment horizontal="left" vertical="center" wrapText="1"/>
    </xf>
    <xf numFmtId="3" fontId="1" fillId="3" borderId="11" xfId="1" applyNumberFormat="1" applyFont="1" applyBorder="1" applyAlignment="1">
      <alignment horizontal="center" vertical="center"/>
    </xf>
    <xf numFmtId="3" fontId="1" fillId="9" borderId="11" xfId="1" applyNumberFormat="1" applyFont="1" applyFill="1" applyBorder="1" applyAlignment="1">
      <alignment horizontal="left" vertical="center" wrapText="1"/>
    </xf>
    <xf numFmtId="0" fontId="1" fillId="3" borderId="5" xfId="1" applyFont="1" applyBorder="1"/>
    <xf numFmtId="0" fontId="1" fillId="3" borderId="11" xfId="1" applyFont="1" applyBorder="1" applyAlignment="1">
      <alignment vertical="center" wrapText="1"/>
    </xf>
    <xf numFmtId="0" fontId="1" fillId="3" borderId="16" xfId="1" applyFont="1" applyBorder="1" applyAlignment="1">
      <alignment vertical="center" wrapText="1"/>
    </xf>
    <xf numFmtId="0" fontId="1" fillId="3" borderId="17" xfId="1" applyFont="1" applyBorder="1" applyAlignment="1">
      <alignment vertical="center" wrapText="1"/>
    </xf>
    <xf numFmtId="0" fontId="2" fillId="4" borderId="11" xfId="1" applyFont="1" applyFill="1" applyBorder="1" applyAlignment="1">
      <alignment vertical="center" wrapText="1"/>
    </xf>
    <xf numFmtId="3" fontId="1" fillId="8" borderId="11" xfId="1" applyNumberFormat="1" applyFont="1" applyFill="1" applyBorder="1" applyAlignment="1">
      <alignment horizontal="left" vertical="center" wrapText="1"/>
    </xf>
    <xf numFmtId="0" fontId="1" fillId="3" borderId="11" xfId="1" applyFont="1" applyBorder="1" applyAlignment="1">
      <alignment horizontal="center" vertical="center"/>
    </xf>
    <xf numFmtId="0" fontId="1" fillId="3" borderId="16" xfId="1" applyFont="1" applyBorder="1" applyAlignment="1">
      <alignment horizontal="center" vertical="center" wrapText="1"/>
    </xf>
    <xf numFmtId="0" fontId="1" fillId="3" borderId="5" xfId="1" applyFont="1" applyBorder="1" applyAlignment="1">
      <alignment vertical="center" wrapText="1"/>
    </xf>
    <xf numFmtId="0" fontId="1" fillId="3" borderId="11" xfId="1" applyFont="1" applyBorder="1" applyAlignment="1">
      <alignment horizontal="center" vertical="center" wrapText="1"/>
    </xf>
    <xf numFmtId="0" fontId="11" fillId="3" borderId="11" xfId="1" applyFont="1" applyBorder="1" applyAlignment="1">
      <alignment horizontal="left" vertical="center" wrapText="1"/>
    </xf>
    <xf numFmtId="0" fontId="1" fillId="3" borderId="17" xfId="1" applyFont="1" applyBorder="1" applyAlignment="1">
      <alignment horizontal="center" vertical="center" wrapText="1"/>
    </xf>
    <xf numFmtId="9" fontId="17" fillId="3" borderId="11" xfId="1" applyNumberFormat="1" applyBorder="1" applyAlignment="1">
      <alignment horizontal="center" vertical="center" wrapText="1"/>
    </xf>
    <xf numFmtId="0" fontId="17" fillId="3" borderId="15" xfId="1" applyBorder="1" applyAlignment="1">
      <alignment vertical="center" wrapText="1"/>
    </xf>
    <xf numFmtId="0" fontId="17" fillId="3" borderId="11" xfId="1" applyBorder="1" applyAlignment="1">
      <alignment horizontal="center" vertical="center" wrapText="1"/>
    </xf>
    <xf numFmtId="0" fontId="17" fillId="3" borderId="16" xfId="1" applyBorder="1" applyAlignment="1">
      <alignment vertical="center" wrapText="1"/>
    </xf>
    <xf numFmtId="0" fontId="3" fillId="3" borderId="5" xfId="1" applyFont="1" applyBorder="1" applyAlignment="1">
      <alignment vertical="center"/>
    </xf>
    <xf numFmtId="0" fontId="3" fillId="3" borderId="21" xfId="1" applyFont="1" applyBorder="1" applyAlignment="1">
      <alignment vertical="center"/>
    </xf>
    <xf numFmtId="0" fontId="17" fillId="3" borderId="17" xfId="1" applyBorder="1" applyAlignment="1">
      <alignment vertical="center" wrapText="1"/>
    </xf>
    <xf numFmtId="0" fontId="2" fillId="5" borderId="17" xfId="1" applyFont="1" applyFill="1" applyBorder="1" applyAlignment="1">
      <alignment horizontal="left" vertical="center" wrapText="1"/>
    </xf>
    <xf numFmtId="0" fontId="2" fillId="4" borderId="15" xfId="1" applyFont="1" applyFill="1" applyBorder="1" applyAlignment="1">
      <alignment horizontal="left" vertical="center" wrapText="1"/>
    </xf>
    <xf numFmtId="0" fontId="17" fillId="3" borderId="29" xfId="1" applyBorder="1" applyAlignment="1">
      <alignment horizontal="left" vertical="center" wrapText="1"/>
    </xf>
    <xf numFmtId="0" fontId="17" fillId="3" borderId="24" xfId="1" applyBorder="1" applyAlignment="1">
      <alignment horizontal="left" vertical="center" wrapText="1"/>
    </xf>
    <xf numFmtId="0" fontId="17" fillId="3" borderId="30" xfId="1" applyBorder="1" applyAlignment="1">
      <alignment horizontal="left" vertical="center" wrapText="1"/>
    </xf>
    <xf numFmtId="0" fontId="17" fillId="3" borderId="15" xfId="1" applyBorder="1" applyAlignment="1">
      <alignment horizontal="left" vertical="center" wrapText="1"/>
    </xf>
    <xf numFmtId="0" fontId="17" fillId="3" borderId="16" xfId="1" applyBorder="1" applyAlignment="1">
      <alignment horizontal="left" vertical="center" wrapText="1"/>
    </xf>
    <xf numFmtId="0" fontId="17" fillId="3" borderId="17" xfId="1" applyBorder="1" applyAlignment="1">
      <alignment horizontal="left" vertical="center" wrapText="1"/>
    </xf>
    <xf numFmtId="0" fontId="2" fillId="4" borderId="17" xfId="1" applyFont="1" applyFill="1" applyBorder="1" applyAlignment="1">
      <alignment horizontal="left" vertical="center" wrapText="1"/>
    </xf>
    <xf numFmtId="0" fontId="2" fillId="5" borderId="17" xfId="1" applyFont="1" applyFill="1" applyBorder="1" applyAlignment="1">
      <alignment vertical="center" wrapText="1"/>
    </xf>
    <xf numFmtId="0" fontId="3" fillId="3" borderId="0" xfId="1" applyFont="1" applyAlignment="1">
      <alignment horizontal="left" vertical="center" wrapText="1"/>
    </xf>
    <xf numFmtId="0" fontId="17" fillId="3" borderId="11" xfId="1" applyBorder="1" applyAlignment="1">
      <alignment horizontal="left" vertical="center" wrapText="1"/>
    </xf>
    <xf numFmtId="0" fontId="17" fillId="3" borderId="0" xfId="1" applyAlignment="1">
      <alignment horizontal="left" vertical="center"/>
    </xf>
    <xf numFmtId="0" fontId="4" fillId="7" borderId="3" xfId="0" applyFont="1" applyFill="1" applyBorder="1" applyAlignment="1">
      <alignment horizontal="left"/>
    </xf>
    <xf numFmtId="0" fontId="4" fillId="7" borderId="10" xfId="0" applyFont="1" applyFill="1" applyBorder="1" applyAlignment="1">
      <alignment horizontal="left"/>
    </xf>
    <xf numFmtId="0" fontId="5" fillId="6" borderId="3" xfId="0" applyFont="1" applyFill="1" applyBorder="1" applyAlignment="1">
      <alignment horizontal="left"/>
    </xf>
    <xf numFmtId="0" fontId="1" fillId="6" borderId="2" xfId="0" applyFont="1" applyFill="1" applyBorder="1" applyAlignment="1">
      <alignment horizontal="left"/>
    </xf>
    <xf numFmtId="0" fontId="1" fillId="6" borderId="3" xfId="0" applyFont="1" applyFill="1" applyBorder="1" applyAlignment="1">
      <alignment horizontal="left"/>
    </xf>
    <xf numFmtId="0" fontId="12" fillId="0" borderId="0" xfId="0" applyFont="1" applyAlignment="1">
      <alignment horizontal="left" vertical="center" wrapText="1" readingOrder="1"/>
    </xf>
    <xf numFmtId="0" fontId="16" fillId="0" borderId="0" xfId="0" applyFont="1" applyAlignment="1">
      <alignment horizontal="left" vertical="center" wrapText="1"/>
    </xf>
    <xf numFmtId="0" fontId="13" fillId="0" borderId="0" xfId="0" applyFont="1" applyAlignment="1">
      <alignment horizontal="left" vertical="center" wrapText="1"/>
    </xf>
    <xf numFmtId="0" fontId="17" fillId="3" borderId="15" xfId="1" applyBorder="1" applyAlignment="1">
      <alignment horizontal="center" vertical="center" wrapText="1"/>
    </xf>
    <xf numFmtId="0" fontId="17" fillId="3" borderId="16" xfId="1" applyBorder="1" applyAlignment="1">
      <alignment horizontal="center" vertical="center" wrapText="1"/>
    </xf>
    <xf numFmtId="0" fontId="17" fillId="3" borderId="17" xfId="1" applyBorder="1" applyAlignment="1">
      <alignment horizontal="center" vertical="center" wrapText="1"/>
    </xf>
    <xf numFmtId="0" fontId="17" fillId="3" borderId="13" xfId="1" applyBorder="1" applyAlignment="1">
      <alignment horizontal="left" vertical="center" wrapText="1"/>
    </xf>
    <xf numFmtId="0" fontId="17" fillId="3" borderId="14" xfId="1" applyBorder="1" applyAlignment="1">
      <alignment horizontal="left" vertical="center" wrapText="1"/>
    </xf>
    <xf numFmtId="0" fontId="2" fillId="5" borderId="8" xfId="1" applyFont="1" applyFill="1" applyBorder="1" applyAlignment="1">
      <alignment horizontal="left" vertical="center" wrapText="1"/>
    </xf>
    <xf numFmtId="0" fontId="2" fillId="5" borderId="1" xfId="1" applyFont="1" applyFill="1" applyBorder="1" applyAlignment="1">
      <alignment horizontal="left" vertical="center" wrapText="1"/>
    </xf>
    <xf numFmtId="0" fontId="2" fillId="4" borderId="9" xfId="1" applyFont="1" applyFill="1" applyBorder="1" applyAlignment="1">
      <alignment horizontal="left" vertical="center" wrapText="1"/>
    </xf>
    <xf numFmtId="0" fontId="2" fillId="4" borderId="0" xfId="1" applyFont="1" applyFill="1" applyAlignment="1">
      <alignment horizontal="left" vertical="center" wrapText="1"/>
    </xf>
    <xf numFmtId="0" fontId="11" fillId="3" borderId="13" xfId="1" applyFont="1" applyBorder="1" applyAlignment="1">
      <alignment horizontal="left" vertical="center" wrapText="1"/>
    </xf>
    <xf numFmtId="0" fontId="11" fillId="3" borderId="14" xfId="1" applyFont="1" applyBorder="1" applyAlignment="1">
      <alignment horizontal="left" vertical="center" wrapText="1"/>
    </xf>
    <xf numFmtId="0" fontId="2" fillId="5" borderId="9" xfId="1" applyFont="1" applyFill="1" applyBorder="1" applyAlignment="1">
      <alignment horizontal="left" vertical="center" wrapText="1"/>
    </xf>
    <xf numFmtId="0" fontId="2" fillId="5" borderId="0" xfId="1" applyFont="1" applyFill="1" applyAlignment="1">
      <alignment horizontal="left" vertical="center" wrapText="1"/>
    </xf>
    <xf numFmtId="9" fontId="10" fillId="3" borderId="13" xfId="1" applyNumberFormat="1" applyFont="1" applyBorder="1" applyAlignment="1">
      <alignment horizontal="left" vertical="center" wrapText="1"/>
    </xf>
    <xf numFmtId="9" fontId="10" fillId="3" borderId="14" xfId="1" applyNumberFormat="1" applyFont="1" applyBorder="1" applyAlignment="1">
      <alignment horizontal="left" vertical="center" wrapText="1"/>
    </xf>
    <xf numFmtId="9" fontId="17" fillId="3" borderId="28" xfId="1" applyNumberFormat="1" applyBorder="1" applyAlignment="1">
      <alignment horizontal="left" vertical="center" wrapText="1"/>
    </xf>
    <xf numFmtId="9" fontId="17" fillId="3" borderId="29" xfId="1" applyNumberFormat="1" applyBorder="1" applyAlignment="1">
      <alignment horizontal="left" vertical="center" wrapText="1"/>
    </xf>
    <xf numFmtId="9" fontId="17" fillId="3" borderId="25" xfId="1" applyNumberFormat="1" applyBorder="1" applyAlignment="1">
      <alignment horizontal="left" vertical="center" wrapText="1"/>
    </xf>
    <xf numFmtId="9" fontId="17" fillId="3" borderId="24" xfId="1" applyNumberFormat="1" applyBorder="1" applyAlignment="1">
      <alignment horizontal="left" vertical="center" wrapText="1"/>
    </xf>
    <xf numFmtId="9" fontId="17" fillId="3" borderId="23" xfId="1" applyNumberFormat="1" applyBorder="1" applyAlignment="1">
      <alignment horizontal="left" vertical="center" wrapText="1"/>
    </xf>
    <xf numFmtId="9" fontId="17" fillId="3" borderId="30" xfId="1" applyNumberFormat="1" applyBorder="1" applyAlignment="1">
      <alignment horizontal="left" vertical="center" wrapText="1"/>
    </xf>
    <xf numFmtId="9" fontId="10" fillId="3" borderId="28" xfId="1" applyNumberFormat="1" applyFont="1" applyBorder="1" applyAlignment="1">
      <alignment horizontal="left" vertical="center" wrapText="1"/>
    </xf>
    <xf numFmtId="9" fontId="10" fillId="3" borderId="29" xfId="1" applyNumberFormat="1" applyFont="1" applyBorder="1" applyAlignment="1">
      <alignment horizontal="left" vertical="center" wrapText="1"/>
    </xf>
    <xf numFmtId="9" fontId="10" fillId="3" borderId="25" xfId="1" applyNumberFormat="1" applyFont="1" applyBorder="1" applyAlignment="1">
      <alignment horizontal="left" vertical="center" wrapText="1"/>
    </xf>
    <xf numFmtId="9" fontId="10" fillId="3" borderId="24" xfId="1" applyNumberFormat="1" applyFont="1" applyBorder="1" applyAlignment="1">
      <alignment horizontal="left" vertical="center" wrapText="1"/>
    </xf>
    <xf numFmtId="9" fontId="10" fillId="3" borderId="23" xfId="1" applyNumberFormat="1" applyFont="1" applyBorder="1" applyAlignment="1">
      <alignment horizontal="left" vertical="center" wrapText="1"/>
    </xf>
    <xf numFmtId="9" fontId="10" fillId="3" borderId="30" xfId="1" applyNumberFormat="1" applyFont="1" applyBorder="1" applyAlignment="1">
      <alignment horizontal="left" vertical="center" wrapText="1"/>
    </xf>
    <xf numFmtId="0" fontId="2" fillId="4" borderId="6" xfId="1" applyFont="1" applyFill="1" applyBorder="1" applyAlignment="1">
      <alignment horizontal="left" vertical="center" wrapText="1"/>
    </xf>
    <xf numFmtId="0" fontId="1" fillId="3" borderId="20" xfId="1" applyFont="1" applyBorder="1" applyAlignment="1">
      <alignment vertical="center" wrapText="1"/>
    </xf>
    <xf numFmtId="0" fontId="17" fillId="3" borderId="25" xfId="1" applyBorder="1" applyAlignment="1">
      <alignment horizontal="left" vertical="center" wrapText="1"/>
    </xf>
    <xf numFmtId="0" fontId="17" fillId="3" borderId="24" xfId="1" applyBorder="1" applyAlignment="1">
      <alignment horizontal="left" vertical="center" wrapText="1"/>
    </xf>
    <xf numFmtId="0" fontId="17" fillId="3" borderId="23" xfId="1" applyBorder="1" applyAlignment="1">
      <alignment horizontal="left" vertical="center" wrapText="1"/>
    </xf>
    <xf numFmtId="0" fontId="17" fillId="3" borderId="30" xfId="1" applyBorder="1" applyAlignment="1">
      <alignment horizontal="left" vertical="center" wrapText="1"/>
    </xf>
    <xf numFmtId="0" fontId="10" fillId="3" borderId="25" xfId="1" applyFont="1" applyBorder="1" applyAlignment="1">
      <alignment horizontal="left" vertical="center" wrapText="1"/>
    </xf>
    <xf numFmtId="0" fontId="10" fillId="3" borderId="24" xfId="1" applyFont="1" applyBorder="1" applyAlignment="1">
      <alignment horizontal="left" vertical="center" wrapText="1"/>
    </xf>
    <xf numFmtId="3" fontId="11" fillId="3" borderId="15" xfId="1" applyNumberFormat="1" applyFont="1" applyBorder="1" applyAlignment="1">
      <alignment horizontal="center" vertical="center" wrapText="1"/>
    </xf>
    <xf numFmtId="3" fontId="11" fillId="3" borderId="16" xfId="1" applyNumberFormat="1" applyFont="1" applyBorder="1" applyAlignment="1">
      <alignment horizontal="center" vertical="center" wrapText="1"/>
    </xf>
    <xf numFmtId="3" fontId="11" fillId="3" borderId="17" xfId="1" applyNumberFormat="1" applyFont="1" applyBorder="1" applyAlignment="1">
      <alignment horizontal="center" vertical="center" wrapText="1"/>
    </xf>
    <xf numFmtId="0" fontId="11" fillId="3" borderId="15" xfId="1" applyFont="1" applyBorder="1" applyAlignment="1">
      <alignment horizontal="left" vertical="center" wrapText="1"/>
    </xf>
    <xf numFmtId="0" fontId="11" fillId="3" borderId="16" xfId="1" applyFont="1" applyBorder="1" applyAlignment="1">
      <alignment horizontal="left" vertical="center" wrapText="1"/>
    </xf>
    <xf numFmtId="0" fontId="11" fillId="3" borderId="17" xfId="1" applyFont="1" applyBorder="1" applyAlignment="1">
      <alignment horizontal="left" vertical="center" wrapText="1"/>
    </xf>
    <xf numFmtId="0" fontId="10" fillId="3" borderId="11" xfId="1" applyFont="1" applyBorder="1" applyAlignment="1">
      <alignment horizontal="left" vertical="center" wrapText="1"/>
    </xf>
    <xf numFmtId="0" fontId="17" fillId="3" borderId="28" xfId="1" applyBorder="1" applyAlignment="1">
      <alignment horizontal="left" vertical="center" wrapText="1"/>
    </xf>
    <xf numFmtId="0" fontId="17" fillId="3" borderId="29" xfId="1" applyBorder="1" applyAlignment="1">
      <alignment horizontal="left" vertical="center" wrapText="1"/>
    </xf>
    <xf numFmtId="0" fontId="2" fillId="2" borderId="3" xfId="1" applyFont="1" applyFill="1" applyBorder="1" applyAlignment="1">
      <alignment horizontal="center" vertical="center" wrapText="1"/>
    </xf>
    <xf numFmtId="0" fontId="2" fillId="2" borderId="26" xfId="1" applyFont="1" applyFill="1" applyBorder="1" applyAlignment="1">
      <alignment horizontal="center" vertical="center" wrapText="1"/>
    </xf>
    <xf numFmtId="0" fontId="17" fillId="3" borderId="15" xfId="1" applyBorder="1" applyAlignment="1">
      <alignment horizontal="center" vertical="center"/>
    </xf>
    <xf numFmtId="0" fontId="17" fillId="3" borderId="16" xfId="1" applyBorder="1" applyAlignment="1">
      <alignment horizontal="center" vertical="center"/>
    </xf>
    <xf numFmtId="0" fontId="17" fillId="3" borderId="17" xfId="1" applyBorder="1" applyAlignment="1">
      <alignment horizontal="center" vertical="center"/>
    </xf>
    <xf numFmtId="0" fontId="11" fillId="9" borderId="15" xfId="1" applyFont="1" applyFill="1" applyBorder="1" applyAlignment="1">
      <alignment horizontal="left" vertical="center" wrapText="1"/>
    </xf>
    <xf numFmtId="0" fontId="11" fillId="9" borderId="16" xfId="1" applyFont="1" applyFill="1" applyBorder="1" applyAlignment="1">
      <alignment horizontal="left" vertical="center" wrapText="1"/>
    </xf>
    <xf numFmtId="0" fontId="11" fillId="8" borderId="16" xfId="1" applyFont="1" applyFill="1" applyBorder="1" applyAlignment="1">
      <alignment horizontal="left" vertical="center" wrapText="1"/>
    </xf>
    <xf numFmtId="0" fontId="2" fillId="4" borderId="31" xfId="1" applyFont="1" applyFill="1" applyBorder="1" applyAlignment="1">
      <alignment horizontal="left" vertical="center" wrapText="1"/>
    </xf>
    <xf numFmtId="0" fontId="2" fillId="4" borderId="30" xfId="1" applyFont="1" applyFill="1" applyBorder="1" applyAlignment="1">
      <alignment horizontal="left" vertical="center" wrapText="1"/>
    </xf>
    <xf numFmtId="3" fontId="1" fillId="8" borderId="15" xfId="1" applyNumberFormat="1" applyFont="1" applyFill="1" applyBorder="1" applyAlignment="1">
      <alignment horizontal="center" vertical="center" wrapText="1"/>
    </xf>
    <xf numFmtId="3" fontId="1" fillId="8" borderId="16" xfId="1" applyNumberFormat="1" applyFont="1" applyFill="1" applyBorder="1" applyAlignment="1">
      <alignment horizontal="center" vertical="center" wrapText="1"/>
    </xf>
    <xf numFmtId="3" fontId="1" fillId="8" borderId="17" xfId="1" applyNumberFormat="1" applyFont="1" applyFill="1" applyBorder="1" applyAlignment="1">
      <alignment horizontal="center" vertical="center" wrapText="1"/>
    </xf>
    <xf numFmtId="0" fontId="1" fillId="3" borderId="15" xfId="1" applyFont="1" applyBorder="1" applyAlignment="1">
      <alignment horizontal="center" vertical="center" wrapText="1"/>
    </xf>
    <xf numFmtId="0" fontId="1" fillId="3" borderId="16" xfId="1" applyFont="1" applyBorder="1" applyAlignment="1">
      <alignment horizontal="center" vertical="center" wrapText="1"/>
    </xf>
    <xf numFmtId="0" fontId="1" fillId="3" borderId="17" xfId="1" applyFont="1" applyBorder="1" applyAlignment="1">
      <alignment horizontal="center" vertical="center" wrapText="1"/>
    </xf>
    <xf numFmtId="3" fontId="1" fillId="8" borderId="11" xfId="1" applyNumberFormat="1" applyFont="1" applyFill="1" applyBorder="1" applyAlignment="1">
      <alignment horizontal="left" vertical="center" wrapText="1"/>
    </xf>
  </cellXfs>
  <cellStyles count="2">
    <cellStyle name="Normal" xfId="0" builtinId="0"/>
    <cellStyle name="Normal 2" xfId="1" xr:uid="{0CDC4D1A-BB80-7C41-95B2-9386C8DE8013}"/>
  </cellStyles>
  <dxfs count="0"/>
  <tableStyles count="0" defaultTableStyle="TableStyleMedium2" defaultPivotStyle="PivotStyleLight16"/>
  <colors>
    <mruColors>
      <color rgb="FFFC6B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hinkingmoonblog@gmail.com" id="{AD1CAE7C-0308-4B3B-9624-4617430E2875}" userId="44c731224adf908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0-05-22T13:26:08.71" personId="{AD1CAE7C-0308-4B3B-9624-4617430E2875}" id="{5A10056A-DEBE-463C-8E04-9F1C429DD144}">
    <text>I would remove 'the' before inbound and replace it with 'both'</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549D-2278-3740-9A17-FB1246C6EB32}">
  <dimension ref="A1:O36"/>
  <sheetViews>
    <sheetView topLeftCell="A3" zoomScale="75" zoomScaleNormal="70" workbookViewId="0">
      <selection activeCell="A24" sqref="A24:N24"/>
    </sheetView>
  </sheetViews>
  <sheetFormatPr baseColWidth="10" defaultColWidth="10.83203125" defaultRowHeight="15" x14ac:dyDescent="0.2"/>
  <cols>
    <col min="1" max="1" width="63.5" style="8" customWidth="1"/>
    <col min="2" max="13" width="10.83203125" style="8"/>
    <col min="14" max="14" width="92.83203125" style="8" customWidth="1"/>
    <col min="15" max="16384" width="10.83203125" style="8"/>
  </cols>
  <sheetData>
    <row r="1" spans="1:15" ht="24" customHeight="1" x14ac:dyDescent="0.2">
      <c r="A1" s="69" t="s">
        <v>507</v>
      </c>
      <c r="B1" s="69"/>
      <c r="C1" s="69"/>
      <c r="D1" s="69"/>
      <c r="E1" s="69"/>
      <c r="F1" s="69"/>
      <c r="G1" s="69"/>
      <c r="H1" s="69"/>
      <c r="I1" s="69"/>
      <c r="J1" s="69"/>
      <c r="K1" s="69"/>
      <c r="L1" s="69"/>
      <c r="M1" s="69"/>
      <c r="N1" s="69"/>
    </row>
    <row r="2" spans="1:15" ht="24" customHeight="1" x14ac:dyDescent="0.2">
      <c r="A2" s="69"/>
      <c r="B2" s="69"/>
      <c r="C2" s="69"/>
      <c r="D2" s="69"/>
      <c r="E2" s="69"/>
      <c r="F2" s="69"/>
      <c r="G2" s="69"/>
      <c r="H2" s="69"/>
      <c r="I2" s="69"/>
      <c r="J2" s="69"/>
      <c r="K2" s="69"/>
      <c r="L2" s="69"/>
      <c r="M2" s="69"/>
      <c r="N2" s="69"/>
    </row>
    <row r="3" spans="1:15" ht="24" customHeight="1" x14ac:dyDescent="0.2">
      <c r="A3" s="69"/>
      <c r="B3" s="69"/>
      <c r="C3" s="69"/>
      <c r="D3" s="69"/>
      <c r="E3" s="69"/>
      <c r="F3" s="69"/>
      <c r="G3" s="69"/>
      <c r="H3" s="69"/>
      <c r="I3" s="69"/>
      <c r="J3" s="69"/>
      <c r="K3" s="69"/>
      <c r="L3" s="69"/>
      <c r="M3" s="69"/>
      <c r="N3" s="69"/>
    </row>
    <row r="4" spans="1:15" s="9" customFormat="1" ht="24" customHeight="1" x14ac:dyDescent="0.2">
      <c r="A4" s="70" t="s">
        <v>406</v>
      </c>
      <c r="B4" s="70"/>
      <c r="C4" s="70"/>
      <c r="D4" s="70"/>
      <c r="E4" s="70"/>
      <c r="F4" s="70"/>
      <c r="G4" s="70"/>
      <c r="H4" s="70"/>
      <c r="I4" s="70"/>
      <c r="J4" s="70"/>
      <c r="K4" s="70"/>
      <c r="L4" s="70"/>
      <c r="M4" s="70"/>
      <c r="N4" s="70"/>
    </row>
    <row r="5" spans="1:15" s="9" customFormat="1" ht="24" customHeight="1" x14ac:dyDescent="0.2">
      <c r="A5" s="70"/>
      <c r="B5" s="70"/>
      <c r="C5" s="70"/>
      <c r="D5" s="70"/>
      <c r="E5" s="70"/>
      <c r="F5" s="70"/>
      <c r="G5" s="70"/>
      <c r="H5" s="70"/>
      <c r="I5" s="70"/>
      <c r="J5" s="70"/>
      <c r="K5" s="70"/>
      <c r="L5" s="70"/>
      <c r="M5" s="70"/>
      <c r="N5" s="70"/>
    </row>
    <row r="6" spans="1:15" ht="35" customHeight="1" x14ac:dyDescent="0.2">
      <c r="A6" s="68" t="s">
        <v>508</v>
      </c>
      <c r="B6" s="68"/>
      <c r="C6" s="68"/>
      <c r="D6" s="68"/>
      <c r="E6" s="68"/>
      <c r="F6" s="68"/>
      <c r="G6" s="68"/>
      <c r="H6" s="68"/>
      <c r="I6" s="68"/>
      <c r="J6" s="68"/>
      <c r="K6" s="68"/>
      <c r="L6" s="68"/>
      <c r="M6" s="68"/>
      <c r="N6" s="68"/>
    </row>
    <row r="7" spans="1:15" ht="35" customHeight="1" x14ac:dyDescent="0.2">
      <c r="A7" s="68" t="s">
        <v>597</v>
      </c>
      <c r="B7" s="68"/>
      <c r="C7" s="68"/>
      <c r="D7" s="68"/>
      <c r="E7" s="68"/>
      <c r="F7" s="68"/>
      <c r="G7" s="68"/>
      <c r="H7" s="68"/>
      <c r="I7" s="68"/>
      <c r="J7" s="68"/>
      <c r="K7" s="68"/>
      <c r="L7" s="68"/>
      <c r="M7" s="68"/>
      <c r="N7" s="68"/>
    </row>
    <row r="8" spans="1:15" ht="35" customHeight="1" x14ac:dyDescent="0.2">
      <c r="A8" s="68" t="s">
        <v>509</v>
      </c>
      <c r="B8" s="68"/>
      <c r="C8" s="68"/>
      <c r="D8" s="68"/>
      <c r="E8" s="68"/>
      <c r="F8" s="68"/>
      <c r="G8" s="68"/>
      <c r="H8" s="68"/>
      <c r="I8" s="68"/>
      <c r="J8" s="68"/>
      <c r="K8" s="68"/>
      <c r="L8" s="68"/>
      <c r="M8" s="68"/>
      <c r="N8" s="68"/>
    </row>
    <row r="9" spans="1:15" ht="35" customHeight="1" x14ac:dyDescent="0.2">
      <c r="A9" s="68" t="s">
        <v>598</v>
      </c>
      <c r="B9" s="68"/>
      <c r="C9" s="68"/>
      <c r="D9" s="68"/>
      <c r="E9" s="68"/>
      <c r="F9" s="68"/>
      <c r="G9" s="68"/>
      <c r="H9" s="68"/>
      <c r="I9" s="68"/>
      <c r="J9" s="68"/>
      <c r="K9" s="68"/>
      <c r="L9" s="68"/>
      <c r="M9" s="68"/>
      <c r="N9" s="68"/>
    </row>
    <row r="10" spans="1:15" ht="35" customHeight="1" x14ac:dyDescent="0.2">
      <c r="A10" s="68" t="s">
        <v>599</v>
      </c>
      <c r="B10" s="68"/>
      <c r="C10" s="68"/>
      <c r="D10" s="68"/>
      <c r="E10" s="68"/>
      <c r="F10" s="68"/>
      <c r="G10" s="68"/>
      <c r="H10" s="68"/>
      <c r="I10" s="68"/>
      <c r="J10" s="68"/>
      <c r="K10" s="68"/>
      <c r="L10" s="68"/>
      <c r="M10" s="68"/>
      <c r="N10" s="68"/>
    </row>
    <row r="11" spans="1:15" ht="35" customHeight="1" x14ac:dyDescent="0.2">
      <c r="A11" s="68" t="s">
        <v>600</v>
      </c>
      <c r="B11" s="68"/>
      <c r="C11" s="68"/>
      <c r="D11" s="68"/>
      <c r="E11" s="68"/>
      <c r="F11" s="68"/>
      <c r="G11" s="68"/>
      <c r="H11" s="68"/>
      <c r="I11" s="68"/>
      <c r="J11" s="68"/>
      <c r="K11" s="68"/>
      <c r="L11" s="68"/>
      <c r="M11" s="68"/>
      <c r="N11" s="68"/>
      <c r="O11" s="10"/>
    </row>
    <row r="12" spans="1:15" ht="35" customHeight="1" x14ac:dyDescent="0.2">
      <c r="A12" s="68" t="s">
        <v>563</v>
      </c>
      <c r="B12" s="68"/>
      <c r="C12" s="68"/>
      <c r="D12" s="68"/>
      <c r="E12" s="68"/>
      <c r="F12" s="68"/>
      <c r="G12" s="68"/>
      <c r="H12" s="68"/>
      <c r="I12" s="68"/>
      <c r="J12" s="68"/>
      <c r="K12" s="68"/>
      <c r="L12" s="68"/>
      <c r="M12" s="68"/>
      <c r="N12" s="68"/>
      <c r="O12" s="10"/>
    </row>
    <row r="13" spans="1:15" ht="24" customHeight="1" x14ac:dyDescent="0.2">
      <c r="A13" s="70" t="s">
        <v>407</v>
      </c>
      <c r="B13" s="70"/>
      <c r="C13" s="70"/>
      <c r="D13" s="70"/>
      <c r="E13" s="70"/>
      <c r="F13" s="70"/>
      <c r="G13" s="70"/>
      <c r="H13" s="70"/>
      <c r="I13" s="70"/>
      <c r="J13" s="70"/>
      <c r="K13" s="70"/>
      <c r="L13" s="70"/>
      <c r="M13" s="70"/>
      <c r="N13" s="70"/>
    </row>
    <row r="14" spans="1:15" ht="24" customHeight="1" x14ac:dyDescent="0.2">
      <c r="A14" s="70"/>
      <c r="B14" s="70"/>
      <c r="C14" s="70"/>
      <c r="D14" s="70"/>
      <c r="E14" s="70"/>
      <c r="F14" s="70"/>
      <c r="G14" s="70"/>
      <c r="H14" s="70"/>
      <c r="I14" s="70"/>
      <c r="J14" s="70"/>
      <c r="K14" s="70"/>
      <c r="L14" s="70"/>
      <c r="M14" s="70"/>
      <c r="N14" s="70"/>
    </row>
    <row r="15" spans="1:15" ht="35" customHeight="1" x14ac:dyDescent="0.2">
      <c r="A15" s="68" t="s">
        <v>562</v>
      </c>
      <c r="B15" s="68"/>
      <c r="C15" s="68"/>
      <c r="D15" s="68"/>
      <c r="E15" s="68"/>
      <c r="F15" s="68"/>
      <c r="G15" s="68"/>
      <c r="H15" s="68"/>
      <c r="I15" s="68"/>
      <c r="J15" s="68"/>
      <c r="K15" s="68"/>
      <c r="L15" s="68"/>
      <c r="M15" s="68"/>
      <c r="N15" s="68"/>
    </row>
    <row r="16" spans="1:15" ht="35" customHeight="1" x14ac:dyDescent="0.2">
      <c r="A16" s="68" t="s">
        <v>564</v>
      </c>
      <c r="B16" s="68"/>
      <c r="C16" s="68"/>
      <c r="D16" s="68"/>
      <c r="E16" s="68"/>
      <c r="F16" s="68"/>
      <c r="G16" s="68"/>
      <c r="H16" s="68"/>
      <c r="I16" s="68"/>
      <c r="J16" s="68"/>
      <c r="K16" s="68"/>
      <c r="L16" s="68"/>
      <c r="M16" s="68"/>
      <c r="N16" s="68"/>
    </row>
    <row r="17" spans="1:14" ht="35" customHeight="1" x14ac:dyDescent="0.2">
      <c r="A17" s="68" t="s">
        <v>510</v>
      </c>
      <c r="B17" s="68"/>
      <c r="C17" s="68"/>
      <c r="D17" s="68"/>
      <c r="E17" s="68"/>
      <c r="F17" s="68"/>
      <c r="G17" s="68"/>
      <c r="H17" s="68"/>
      <c r="I17" s="68"/>
      <c r="J17" s="68"/>
      <c r="K17" s="68"/>
      <c r="L17" s="68"/>
      <c r="M17" s="68"/>
      <c r="N17" s="68"/>
    </row>
    <row r="18" spans="1:14" ht="35" customHeight="1" x14ac:dyDescent="0.2">
      <c r="A18" s="68" t="s">
        <v>511</v>
      </c>
      <c r="B18" s="68"/>
      <c r="C18" s="68"/>
      <c r="D18" s="68"/>
      <c r="E18" s="68"/>
      <c r="F18" s="68"/>
      <c r="G18" s="68"/>
      <c r="H18" s="68"/>
      <c r="I18" s="68"/>
      <c r="J18" s="68"/>
      <c r="K18" s="68"/>
      <c r="L18" s="68"/>
      <c r="M18" s="68"/>
      <c r="N18" s="68"/>
    </row>
    <row r="19" spans="1:14" ht="35" customHeight="1" x14ac:dyDescent="0.2">
      <c r="A19" s="68" t="s">
        <v>512</v>
      </c>
      <c r="B19" s="68"/>
      <c r="C19" s="68"/>
      <c r="D19" s="68"/>
      <c r="E19" s="68"/>
      <c r="F19" s="68"/>
      <c r="G19" s="68"/>
      <c r="H19" s="68"/>
      <c r="I19" s="68"/>
      <c r="J19" s="68"/>
      <c r="K19" s="68"/>
      <c r="L19" s="68"/>
      <c r="M19" s="68"/>
      <c r="N19" s="68"/>
    </row>
    <row r="20" spans="1:14" ht="35" customHeight="1" x14ac:dyDescent="0.2">
      <c r="A20" s="68" t="s">
        <v>513</v>
      </c>
      <c r="B20" s="68"/>
      <c r="C20" s="68"/>
      <c r="D20" s="68"/>
      <c r="E20" s="68"/>
      <c r="F20" s="68"/>
      <c r="G20" s="68"/>
      <c r="H20" s="68"/>
      <c r="I20" s="68"/>
      <c r="J20" s="68"/>
      <c r="K20" s="68"/>
      <c r="L20" s="68"/>
      <c r="M20" s="68"/>
      <c r="N20" s="68"/>
    </row>
    <row r="21" spans="1:14" ht="35" customHeight="1" x14ac:dyDescent="0.2">
      <c r="A21" s="70" t="s">
        <v>653</v>
      </c>
      <c r="B21" s="70"/>
      <c r="C21" s="70"/>
      <c r="D21" s="70"/>
      <c r="E21" s="70"/>
      <c r="F21" s="70"/>
      <c r="G21" s="70"/>
      <c r="H21" s="70"/>
      <c r="I21" s="70"/>
      <c r="J21" s="70"/>
      <c r="K21" s="70"/>
      <c r="L21" s="70"/>
      <c r="M21" s="70"/>
      <c r="N21" s="70"/>
    </row>
    <row r="22" spans="1:14" ht="21" customHeight="1" x14ac:dyDescent="0.2">
      <c r="A22" s="70"/>
      <c r="B22" s="70"/>
      <c r="C22" s="70"/>
      <c r="D22" s="70"/>
      <c r="E22" s="70"/>
      <c r="F22" s="70"/>
      <c r="G22" s="70"/>
      <c r="H22" s="70"/>
      <c r="I22" s="70"/>
      <c r="J22" s="70"/>
      <c r="K22" s="70"/>
      <c r="L22" s="70"/>
      <c r="M22" s="70"/>
      <c r="N22" s="70"/>
    </row>
    <row r="23" spans="1:14" ht="35" customHeight="1" x14ac:dyDescent="0.2">
      <c r="A23" s="68" t="s">
        <v>565</v>
      </c>
      <c r="B23" s="68"/>
      <c r="C23" s="68"/>
      <c r="D23" s="68"/>
      <c r="E23" s="68"/>
      <c r="F23" s="68"/>
      <c r="G23" s="68"/>
      <c r="H23" s="68"/>
      <c r="I23" s="68"/>
      <c r="J23" s="68"/>
      <c r="K23" s="68"/>
      <c r="L23" s="68"/>
      <c r="M23" s="68"/>
      <c r="N23" s="68"/>
    </row>
    <row r="24" spans="1:14" ht="35" customHeight="1" x14ac:dyDescent="0.2">
      <c r="A24" s="68" t="s">
        <v>566</v>
      </c>
      <c r="B24" s="68"/>
      <c r="C24" s="68"/>
      <c r="D24" s="68"/>
      <c r="E24" s="68"/>
      <c r="F24" s="68"/>
      <c r="G24" s="68"/>
      <c r="H24" s="68"/>
      <c r="I24" s="68"/>
      <c r="J24" s="68"/>
      <c r="K24" s="68"/>
      <c r="L24" s="68"/>
      <c r="M24" s="68"/>
      <c r="N24" s="68"/>
    </row>
    <row r="25" spans="1:14" ht="35" customHeight="1" x14ac:dyDescent="0.2">
      <c r="A25" s="68" t="s">
        <v>601</v>
      </c>
      <c r="B25" s="68"/>
      <c r="C25" s="68"/>
      <c r="D25" s="68"/>
      <c r="E25" s="68"/>
      <c r="F25" s="68"/>
      <c r="G25" s="68"/>
      <c r="H25" s="68"/>
      <c r="I25" s="68"/>
      <c r="J25" s="68"/>
      <c r="K25" s="68"/>
      <c r="L25" s="68"/>
      <c r="M25" s="68"/>
      <c r="N25" s="68"/>
    </row>
    <row r="26" spans="1:14" ht="35" customHeight="1" x14ac:dyDescent="0.2">
      <c r="A26" s="68" t="s">
        <v>514</v>
      </c>
      <c r="B26" s="68"/>
      <c r="C26" s="68"/>
      <c r="D26" s="68"/>
      <c r="E26" s="68"/>
      <c r="F26" s="68"/>
      <c r="G26" s="68"/>
      <c r="H26" s="68"/>
      <c r="I26" s="68"/>
      <c r="J26" s="68"/>
      <c r="K26" s="68"/>
      <c r="L26" s="68"/>
      <c r="M26" s="68"/>
      <c r="N26" s="68"/>
    </row>
    <row r="27" spans="1:14" ht="35" customHeight="1" x14ac:dyDescent="0.2">
      <c r="A27" s="68" t="s">
        <v>602</v>
      </c>
      <c r="B27" s="68"/>
      <c r="C27" s="68"/>
      <c r="D27" s="68"/>
      <c r="E27" s="68"/>
      <c r="F27" s="68"/>
      <c r="G27" s="68"/>
      <c r="H27" s="68"/>
      <c r="I27" s="68"/>
      <c r="J27" s="68"/>
      <c r="K27" s="68"/>
      <c r="L27" s="68"/>
      <c r="M27" s="68"/>
      <c r="N27" s="68"/>
    </row>
    <row r="28" spans="1:14" ht="35" customHeight="1" x14ac:dyDescent="0.2">
      <c r="A28" s="68" t="s">
        <v>603</v>
      </c>
      <c r="B28" s="68"/>
      <c r="C28" s="68"/>
      <c r="D28" s="68"/>
      <c r="E28" s="68"/>
      <c r="F28" s="68"/>
      <c r="G28" s="68"/>
      <c r="H28" s="68"/>
      <c r="I28" s="68"/>
      <c r="J28" s="68"/>
      <c r="K28" s="68"/>
      <c r="L28" s="68"/>
      <c r="M28" s="68"/>
      <c r="N28" s="68"/>
    </row>
    <row r="29" spans="1:14" ht="35" customHeight="1" x14ac:dyDescent="0.2">
      <c r="A29" s="68" t="s">
        <v>567</v>
      </c>
      <c r="B29" s="68"/>
      <c r="C29" s="68"/>
      <c r="D29" s="68"/>
      <c r="E29" s="68"/>
      <c r="F29" s="68"/>
      <c r="G29" s="68"/>
      <c r="H29" s="68"/>
      <c r="I29" s="68"/>
      <c r="J29" s="68"/>
      <c r="K29" s="68"/>
      <c r="L29" s="68"/>
      <c r="M29" s="68"/>
      <c r="N29" s="68"/>
    </row>
    <row r="30" spans="1:14" ht="35" customHeight="1" x14ac:dyDescent="0.2">
      <c r="A30" s="68" t="s">
        <v>604</v>
      </c>
      <c r="B30" s="68"/>
      <c r="C30" s="68"/>
      <c r="D30" s="68"/>
      <c r="E30" s="68"/>
      <c r="F30" s="68"/>
      <c r="G30" s="68"/>
      <c r="H30" s="68"/>
      <c r="I30" s="68"/>
      <c r="J30" s="68"/>
      <c r="K30" s="68"/>
      <c r="L30" s="68"/>
      <c r="M30" s="68"/>
      <c r="N30" s="68"/>
    </row>
    <row r="31" spans="1:14" ht="35" customHeight="1" x14ac:dyDescent="0.2">
      <c r="A31" s="68" t="s">
        <v>605</v>
      </c>
      <c r="B31" s="68"/>
      <c r="C31" s="68"/>
      <c r="D31" s="68"/>
      <c r="E31" s="68"/>
      <c r="F31" s="68"/>
      <c r="G31" s="68"/>
      <c r="H31" s="68"/>
      <c r="I31" s="68"/>
      <c r="J31" s="68"/>
      <c r="K31" s="68"/>
      <c r="L31" s="68"/>
      <c r="M31" s="68"/>
      <c r="N31" s="68"/>
    </row>
    <row r="32" spans="1:14" ht="35" customHeight="1" x14ac:dyDescent="0.2">
      <c r="A32" s="68" t="s">
        <v>515</v>
      </c>
      <c r="B32" s="68"/>
      <c r="C32" s="68"/>
      <c r="D32" s="68"/>
      <c r="E32" s="68"/>
      <c r="F32" s="68"/>
      <c r="G32" s="68"/>
      <c r="H32" s="68"/>
      <c r="I32" s="68"/>
      <c r="J32" s="68"/>
      <c r="K32" s="68"/>
      <c r="L32" s="68"/>
      <c r="M32" s="68"/>
      <c r="N32" s="68"/>
    </row>
    <row r="33" spans="1:14" ht="34" x14ac:dyDescent="0.2">
      <c r="A33" s="70"/>
      <c r="B33" s="70"/>
      <c r="C33" s="70"/>
      <c r="D33" s="70"/>
      <c r="E33" s="70"/>
      <c r="F33" s="70"/>
      <c r="G33" s="70"/>
      <c r="H33" s="70"/>
      <c r="I33" s="70"/>
      <c r="J33" s="70"/>
      <c r="K33" s="70"/>
      <c r="L33" s="70"/>
      <c r="M33" s="70"/>
      <c r="N33" s="70"/>
    </row>
    <row r="34" spans="1:14" ht="26" x14ac:dyDescent="0.2">
      <c r="A34" s="14"/>
    </row>
    <row r="35" spans="1:14" ht="26" x14ac:dyDescent="0.2">
      <c r="A35" s="14"/>
    </row>
    <row r="36" spans="1:14" ht="26" x14ac:dyDescent="0.2">
      <c r="A36" s="14"/>
    </row>
  </sheetData>
  <mergeCells count="28">
    <mergeCell ref="A33:N33"/>
    <mergeCell ref="A26:N26"/>
    <mergeCell ref="A27:N27"/>
    <mergeCell ref="A10:N10"/>
    <mergeCell ref="A11:N11"/>
    <mergeCell ref="A16:N16"/>
    <mergeCell ref="A21:N22"/>
    <mergeCell ref="A13:N14"/>
    <mergeCell ref="A15:N15"/>
    <mergeCell ref="A17:N17"/>
    <mergeCell ref="A19:N19"/>
    <mergeCell ref="A18:N18"/>
    <mergeCell ref="A20:N20"/>
    <mergeCell ref="A12:N12"/>
    <mergeCell ref="A23:N23"/>
    <mergeCell ref="A24:N24"/>
    <mergeCell ref="A9:N9"/>
    <mergeCell ref="A1:N3"/>
    <mergeCell ref="A4:N5"/>
    <mergeCell ref="A6:N6"/>
    <mergeCell ref="A8:N8"/>
    <mergeCell ref="A7:N7"/>
    <mergeCell ref="A32:N32"/>
    <mergeCell ref="A28:N28"/>
    <mergeCell ref="A25:N25"/>
    <mergeCell ref="A29:N29"/>
    <mergeCell ref="A30:N30"/>
    <mergeCell ref="A31:N31"/>
  </mergeCells>
  <pageMargins left="0.7" right="0.7" top="0.75" bottom="0.75" header="0.3" footer="0.3"/>
  <pageSetup paperSize="9"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91E4-DA89-DB48-9B64-EC531979ED68}">
  <dimension ref="A1:G186"/>
  <sheetViews>
    <sheetView tabSelected="1" topLeftCell="A100" zoomScale="150" workbookViewId="0">
      <selection activeCell="A129" sqref="A129"/>
    </sheetView>
  </sheetViews>
  <sheetFormatPr baseColWidth="10" defaultColWidth="10.83203125" defaultRowHeight="15" x14ac:dyDescent="0.2"/>
  <cols>
    <col min="1" max="1" width="24.1640625" style="20" customWidth="1"/>
    <col min="2" max="2" width="120.5" style="20" customWidth="1"/>
    <col min="3" max="3" width="10.83203125" style="20"/>
    <col min="4" max="4" width="30.83203125" style="20" customWidth="1"/>
    <col min="5" max="5" width="59" style="62" customWidth="1"/>
    <col min="6" max="6" width="41" style="62" customWidth="1"/>
    <col min="7" max="7" width="23.6640625" style="20" customWidth="1"/>
    <col min="8" max="16384" width="10.83203125" style="20"/>
  </cols>
  <sheetData>
    <row r="1" spans="1:7" ht="17" thickBot="1" x14ac:dyDescent="0.25">
      <c r="A1" s="15" t="s">
        <v>0</v>
      </c>
      <c r="B1" s="16" t="s">
        <v>1</v>
      </c>
      <c r="C1" s="17" t="s">
        <v>118</v>
      </c>
      <c r="D1" s="115" t="s">
        <v>160</v>
      </c>
      <c r="E1" s="116"/>
      <c r="F1" s="18" t="s">
        <v>409</v>
      </c>
      <c r="G1" s="19" t="s">
        <v>119</v>
      </c>
    </row>
    <row r="2" spans="1:7" x14ac:dyDescent="0.2">
      <c r="A2" s="76" t="s">
        <v>52</v>
      </c>
      <c r="B2" s="77"/>
      <c r="C2" s="21"/>
      <c r="D2" s="21"/>
      <c r="E2" s="22"/>
      <c r="F2" s="22"/>
      <c r="G2" s="22"/>
    </row>
    <row r="3" spans="1:7" x14ac:dyDescent="0.2">
      <c r="A3" s="78" t="s">
        <v>433</v>
      </c>
      <c r="B3" s="79"/>
      <c r="C3" s="23"/>
      <c r="D3" s="24"/>
      <c r="E3" s="25"/>
      <c r="F3" s="25"/>
      <c r="G3" s="26"/>
    </row>
    <row r="4" spans="1:7" ht="115" customHeight="1" x14ac:dyDescent="0.2">
      <c r="A4" s="27" t="s">
        <v>434</v>
      </c>
      <c r="B4" s="28" t="s">
        <v>143</v>
      </c>
      <c r="C4" s="29">
        <v>7384000</v>
      </c>
      <c r="D4" s="117" t="s">
        <v>659</v>
      </c>
      <c r="E4" s="36" t="s">
        <v>660</v>
      </c>
      <c r="F4" s="120"/>
      <c r="G4" s="114" t="s">
        <v>413</v>
      </c>
    </row>
    <row r="5" spans="1:7" ht="117" customHeight="1" x14ac:dyDescent="0.2">
      <c r="A5" s="27" t="s">
        <v>435</v>
      </c>
      <c r="B5" s="28" t="s">
        <v>144</v>
      </c>
      <c r="C5" s="29">
        <v>6482000</v>
      </c>
      <c r="D5" s="118"/>
      <c r="E5" s="30" t="s">
        <v>661</v>
      </c>
      <c r="F5" s="121"/>
      <c r="G5" s="101"/>
    </row>
    <row r="6" spans="1:7" ht="260" customHeight="1" x14ac:dyDescent="0.2">
      <c r="A6" s="27" t="s">
        <v>436</v>
      </c>
      <c r="B6" s="28" t="s">
        <v>145</v>
      </c>
      <c r="C6" s="29">
        <v>1957021</v>
      </c>
      <c r="D6" s="118"/>
      <c r="E6" s="122" t="s">
        <v>662</v>
      </c>
      <c r="F6" s="122"/>
      <c r="G6" s="101"/>
    </row>
    <row r="7" spans="1:7" ht="317" customHeight="1" x14ac:dyDescent="0.2">
      <c r="A7" s="27" t="s">
        <v>437</v>
      </c>
      <c r="B7" s="28" t="s">
        <v>146</v>
      </c>
      <c r="C7" s="29">
        <v>1595965</v>
      </c>
      <c r="D7" s="118"/>
      <c r="E7" s="122"/>
      <c r="F7" s="122"/>
      <c r="G7" s="101"/>
    </row>
    <row r="8" spans="1:7" ht="20" customHeight="1" x14ac:dyDescent="0.2">
      <c r="A8" s="31" t="s">
        <v>438</v>
      </c>
      <c r="B8" s="28" t="s">
        <v>663</v>
      </c>
      <c r="C8" s="29">
        <v>122903</v>
      </c>
      <c r="D8" s="118"/>
      <c r="E8" s="32"/>
      <c r="F8" s="33"/>
      <c r="G8" s="101"/>
    </row>
    <row r="9" spans="1:7" ht="20" customHeight="1" x14ac:dyDescent="0.2">
      <c r="A9" s="31" t="s">
        <v>439</v>
      </c>
      <c r="B9" s="28" t="s">
        <v>664</v>
      </c>
      <c r="C9" s="29">
        <v>454859</v>
      </c>
      <c r="D9" s="118"/>
      <c r="E9" s="32"/>
      <c r="F9" s="34"/>
      <c r="G9" s="101"/>
    </row>
    <row r="10" spans="1:7" ht="20" customHeight="1" x14ac:dyDescent="0.2">
      <c r="A10" s="31" t="s">
        <v>438</v>
      </c>
      <c r="B10" s="28" t="s">
        <v>665</v>
      </c>
      <c r="C10" s="29">
        <v>193505</v>
      </c>
      <c r="D10" s="118"/>
      <c r="E10" s="32"/>
      <c r="F10" s="33"/>
      <c r="G10" s="101"/>
    </row>
    <row r="11" spans="1:7" ht="20" customHeight="1" x14ac:dyDescent="0.2">
      <c r="A11" s="31" t="s">
        <v>439</v>
      </c>
      <c r="B11" s="28" t="s">
        <v>666</v>
      </c>
      <c r="C11" s="29">
        <v>237379</v>
      </c>
      <c r="D11" s="118"/>
      <c r="E11" s="32"/>
      <c r="F11" s="34"/>
      <c r="G11" s="101"/>
    </row>
    <row r="12" spans="1:7" ht="20" customHeight="1" x14ac:dyDescent="0.2">
      <c r="A12" s="31" t="s">
        <v>438</v>
      </c>
      <c r="B12" s="28" t="s">
        <v>667</v>
      </c>
      <c r="C12" s="29">
        <v>46125</v>
      </c>
      <c r="D12" s="118"/>
      <c r="E12" s="32"/>
      <c r="F12" s="33"/>
      <c r="G12" s="101"/>
    </row>
    <row r="13" spans="1:7" ht="20" customHeight="1" x14ac:dyDescent="0.2">
      <c r="A13" s="31" t="s">
        <v>439</v>
      </c>
      <c r="B13" s="28" t="s">
        <v>668</v>
      </c>
      <c r="C13" s="29">
        <v>16872</v>
      </c>
      <c r="D13" s="119"/>
      <c r="E13" s="32"/>
      <c r="F13" s="34"/>
      <c r="G13" s="101"/>
    </row>
    <row r="14" spans="1:7" ht="14.5" customHeight="1" x14ac:dyDescent="0.2">
      <c r="A14" s="123" t="s">
        <v>588</v>
      </c>
      <c r="B14" s="124"/>
      <c r="C14" s="35"/>
      <c r="D14" s="35"/>
      <c r="E14" s="35"/>
      <c r="F14" s="35"/>
      <c r="G14" s="101"/>
    </row>
    <row r="15" spans="1:7" ht="128" customHeight="1" x14ac:dyDescent="0.2">
      <c r="A15" s="27" t="s">
        <v>2</v>
      </c>
      <c r="B15" s="28" t="s">
        <v>589</v>
      </c>
      <c r="C15" s="29">
        <v>1343000</v>
      </c>
      <c r="D15" s="125" t="s">
        <v>659</v>
      </c>
      <c r="E15" s="131" t="s">
        <v>669</v>
      </c>
      <c r="F15" s="122"/>
      <c r="G15" s="101"/>
    </row>
    <row r="16" spans="1:7" ht="123" customHeight="1" x14ac:dyDescent="0.2">
      <c r="A16" s="27" t="s">
        <v>3</v>
      </c>
      <c r="B16" s="28" t="s">
        <v>149</v>
      </c>
      <c r="C16" s="29">
        <v>835000</v>
      </c>
      <c r="D16" s="126"/>
      <c r="E16" s="131"/>
      <c r="F16" s="122"/>
      <c r="G16" s="101"/>
    </row>
    <row r="17" spans="1:7" ht="284" customHeight="1" x14ac:dyDescent="0.2">
      <c r="A17" s="27" t="s">
        <v>147</v>
      </c>
      <c r="B17" s="28" t="s">
        <v>150</v>
      </c>
      <c r="C17" s="29">
        <f>3820998*0.11</f>
        <v>420309.78</v>
      </c>
      <c r="D17" s="126"/>
      <c r="E17" s="122" t="s">
        <v>670</v>
      </c>
      <c r="F17" s="122"/>
      <c r="G17" s="101"/>
    </row>
    <row r="18" spans="1:7" ht="353" customHeight="1" x14ac:dyDescent="0.2">
      <c r="A18" s="27" t="s">
        <v>148</v>
      </c>
      <c r="B18" s="28" t="s">
        <v>151</v>
      </c>
      <c r="C18" s="37">
        <f>1002354*0.14</f>
        <v>140329.56000000003</v>
      </c>
      <c r="D18" s="126"/>
      <c r="E18" s="122"/>
      <c r="F18" s="122"/>
      <c r="G18" s="101"/>
    </row>
    <row r="19" spans="1:7" ht="20" customHeight="1" x14ac:dyDescent="0.2">
      <c r="A19" s="31" t="s">
        <v>362</v>
      </c>
      <c r="B19" s="28" t="s">
        <v>671</v>
      </c>
      <c r="C19" s="29">
        <f>143001*0.11</f>
        <v>15730.11</v>
      </c>
      <c r="D19" s="126"/>
      <c r="E19" s="32"/>
      <c r="F19" s="38"/>
      <c r="G19" s="101"/>
    </row>
    <row r="20" spans="1:7" ht="20" customHeight="1" x14ac:dyDescent="0.2">
      <c r="A20" s="31" t="s">
        <v>363</v>
      </c>
      <c r="B20" s="28" t="s">
        <v>672</v>
      </c>
      <c r="C20" s="29">
        <f>319510*0.13</f>
        <v>41536.300000000003</v>
      </c>
      <c r="D20" s="126"/>
      <c r="E20" s="32"/>
      <c r="F20" s="42"/>
      <c r="G20" s="101"/>
    </row>
    <row r="21" spans="1:7" ht="20" customHeight="1" x14ac:dyDescent="0.2">
      <c r="A21" s="31" t="s">
        <v>362</v>
      </c>
      <c r="B21" s="28" t="s">
        <v>673</v>
      </c>
      <c r="C21" s="29">
        <f>89949*0.11</f>
        <v>9894.39</v>
      </c>
      <c r="D21" s="126"/>
      <c r="E21" s="32"/>
      <c r="F21" s="38"/>
      <c r="G21" s="101"/>
    </row>
    <row r="22" spans="1:7" ht="20" customHeight="1" x14ac:dyDescent="0.2">
      <c r="A22" s="31" t="s">
        <v>363</v>
      </c>
      <c r="B22" s="28" t="s">
        <v>674</v>
      </c>
      <c r="C22" s="29">
        <f>308354*0.13</f>
        <v>40086.020000000004</v>
      </c>
      <c r="D22" s="126"/>
      <c r="E22" s="32"/>
      <c r="F22" s="42"/>
      <c r="G22" s="101"/>
    </row>
    <row r="23" spans="1:7" ht="20" customHeight="1" x14ac:dyDescent="0.2">
      <c r="A23" s="31" t="s">
        <v>362</v>
      </c>
      <c r="B23" s="28" t="s">
        <v>675</v>
      </c>
      <c r="C23" s="29">
        <f>19244*0.11</f>
        <v>2116.84</v>
      </c>
      <c r="D23" s="126"/>
      <c r="E23" s="32"/>
      <c r="F23" s="38"/>
      <c r="G23" s="101"/>
    </row>
    <row r="24" spans="1:7" ht="20" customHeight="1" x14ac:dyDescent="0.2">
      <c r="A24" s="31" t="s">
        <v>363</v>
      </c>
      <c r="B24" s="28" t="s">
        <v>676</v>
      </c>
      <c r="C24" s="29">
        <f>90088*0.13</f>
        <v>11711.44</v>
      </c>
      <c r="D24" s="127"/>
      <c r="E24" s="32"/>
      <c r="F24" s="42"/>
      <c r="G24" s="101"/>
    </row>
    <row r="25" spans="1:7" ht="20" customHeight="1" x14ac:dyDescent="0.2">
      <c r="A25" s="78" t="s">
        <v>414</v>
      </c>
      <c r="B25" s="79"/>
      <c r="C25" s="35"/>
      <c r="D25" s="35"/>
      <c r="E25" s="35"/>
      <c r="F25" s="35"/>
      <c r="G25" s="101"/>
    </row>
    <row r="26" spans="1:7" ht="20" customHeight="1" x14ac:dyDescent="0.2">
      <c r="A26" s="27" t="s">
        <v>4</v>
      </c>
      <c r="B26" s="28" t="s">
        <v>154</v>
      </c>
      <c r="C26" s="29">
        <v>0</v>
      </c>
      <c r="D26" s="106" t="s">
        <v>412</v>
      </c>
      <c r="E26" s="109" t="s">
        <v>590</v>
      </c>
      <c r="F26" s="128"/>
      <c r="G26" s="101"/>
    </row>
    <row r="27" spans="1:7" ht="20" customHeight="1" x14ac:dyDescent="0.2">
      <c r="A27" s="27" t="s">
        <v>5</v>
      </c>
      <c r="B27" s="28" t="s">
        <v>155</v>
      </c>
      <c r="C27" s="29">
        <v>0</v>
      </c>
      <c r="D27" s="107"/>
      <c r="E27" s="110"/>
      <c r="F27" s="129"/>
      <c r="G27" s="101"/>
    </row>
    <row r="28" spans="1:7" ht="20" customHeight="1" x14ac:dyDescent="0.2">
      <c r="A28" s="27" t="s">
        <v>152</v>
      </c>
      <c r="B28" s="28" t="s">
        <v>156</v>
      </c>
      <c r="C28" s="37">
        <v>0</v>
      </c>
      <c r="D28" s="107"/>
      <c r="E28" s="110"/>
      <c r="F28" s="129"/>
      <c r="G28" s="101"/>
    </row>
    <row r="29" spans="1:7" ht="20" customHeight="1" x14ac:dyDescent="0.2">
      <c r="A29" s="27" t="s">
        <v>153</v>
      </c>
      <c r="B29" s="28" t="s">
        <v>157</v>
      </c>
      <c r="C29" s="37">
        <v>0</v>
      </c>
      <c r="D29" s="107"/>
      <c r="E29" s="110"/>
      <c r="F29" s="129"/>
      <c r="G29" s="101"/>
    </row>
    <row r="30" spans="1:7" ht="20" customHeight="1" x14ac:dyDescent="0.2">
      <c r="A30" s="31" t="s">
        <v>364</v>
      </c>
      <c r="B30" s="28" t="s">
        <v>158</v>
      </c>
      <c r="C30" s="37">
        <v>0</v>
      </c>
      <c r="D30" s="107"/>
      <c r="E30" s="110"/>
      <c r="F30" s="129"/>
      <c r="G30" s="101"/>
    </row>
    <row r="31" spans="1:7" ht="20" customHeight="1" x14ac:dyDescent="0.2">
      <c r="A31" s="31" t="s">
        <v>365</v>
      </c>
      <c r="B31" s="28" t="s">
        <v>159</v>
      </c>
      <c r="C31" s="37">
        <v>0</v>
      </c>
      <c r="D31" s="107"/>
      <c r="E31" s="110"/>
      <c r="F31" s="129"/>
      <c r="G31" s="101"/>
    </row>
    <row r="32" spans="1:7" ht="20" customHeight="1" x14ac:dyDescent="0.2">
      <c r="A32" s="78" t="s">
        <v>6</v>
      </c>
      <c r="B32" s="79"/>
      <c r="C32" s="35"/>
      <c r="D32" s="107"/>
      <c r="E32" s="110"/>
      <c r="F32" s="129"/>
      <c r="G32" s="101"/>
    </row>
    <row r="33" spans="1:7" ht="20" customHeight="1" x14ac:dyDescent="0.2">
      <c r="A33" s="27" t="s">
        <v>7</v>
      </c>
      <c r="B33" s="28" t="s">
        <v>161</v>
      </c>
      <c r="C33" s="29">
        <v>0</v>
      </c>
      <c r="D33" s="107"/>
      <c r="E33" s="110"/>
      <c r="F33" s="129"/>
      <c r="G33" s="101"/>
    </row>
    <row r="34" spans="1:7" ht="20" customHeight="1" x14ac:dyDescent="0.2">
      <c r="A34" s="27" t="s">
        <v>8</v>
      </c>
      <c r="B34" s="28" t="s">
        <v>162</v>
      </c>
      <c r="C34" s="29">
        <v>0</v>
      </c>
      <c r="D34" s="107"/>
      <c r="E34" s="110"/>
      <c r="F34" s="129"/>
      <c r="G34" s="101"/>
    </row>
    <row r="35" spans="1:7" ht="20" customHeight="1" x14ac:dyDescent="0.2">
      <c r="A35" s="27" t="s">
        <v>167</v>
      </c>
      <c r="B35" s="28" t="s">
        <v>163</v>
      </c>
      <c r="C35" s="37">
        <v>0</v>
      </c>
      <c r="D35" s="107"/>
      <c r="E35" s="110"/>
      <c r="F35" s="129"/>
      <c r="G35" s="101"/>
    </row>
    <row r="36" spans="1:7" ht="20" customHeight="1" x14ac:dyDescent="0.2">
      <c r="A36" s="27" t="s">
        <v>168</v>
      </c>
      <c r="B36" s="28" t="s">
        <v>164</v>
      </c>
      <c r="C36" s="37">
        <v>0</v>
      </c>
      <c r="D36" s="107"/>
      <c r="E36" s="110"/>
      <c r="F36" s="129"/>
      <c r="G36" s="101"/>
    </row>
    <row r="37" spans="1:7" ht="20" customHeight="1" x14ac:dyDescent="0.2">
      <c r="A37" s="31" t="s">
        <v>366</v>
      </c>
      <c r="B37" s="28" t="s">
        <v>165</v>
      </c>
      <c r="C37" s="37">
        <v>0</v>
      </c>
      <c r="D37" s="107"/>
      <c r="E37" s="110"/>
      <c r="F37" s="129"/>
      <c r="G37" s="101"/>
    </row>
    <row r="38" spans="1:7" ht="20" customHeight="1" x14ac:dyDescent="0.2">
      <c r="A38" s="31" t="s">
        <v>367</v>
      </c>
      <c r="B38" s="28" t="s">
        <v>166</v>
      </c>
      <c r="C38" s="37">
        <v>0</v>
      </c>
      <c r="D38" s="107"/>
      <c r="E38" s="110"/>
      <c r="F38" s="129"/>
      <c r="G38" s="101"/>
    </row>
    <row r="39" spans="1:7" ht="20" customHeight="1" x14ac:dyDescent="0.2">
      <c r="A39" s="78" t="s">
        <v>9</v>
      </c>
      <c r="B39" s="79"/>
      <c r="C39" s="35"/>
      <c r="D39" s="107"/>
      <c r="E39" s="110"/>
      <c r="F39" s="129"/>
      <c r="G39" s="101"/>
    </row>
    <row r="40" spans="1:7" ht="20" customHeight="1" x14ac:dyDescent="0.2">
      <c r="A40" s="27" t="s">
        <v>10</v>
      </c>
      <c r="B40" s="28" t="s">
        <v>171</v>
      </c>
      <c r="C40" s="29">
        <v>0</v>
      </c>
      <c r="D40" s="107"/>
      <c r="E40" s="110"/>
      <c r="F40" s="129"/>
      <c r="G40" s="101"/>
    </row>
    <row r="41" spans="1:7" ht="20" customHeight="1" x14ac:dyDescent="0.2">
      <c r="A41" s="27" t="s">
        <v>11</v>
      </c>
      <c r="B41" s="28" t="s">
        <v>172</v>
      </c>
      <c r="C41" s="29">
        <v>0</v>
      </c>
      <c r="D41" s="107"/>
      <c r="E41" s="110"/>
      <c r="F41" s="129"/>
      <c r="G41" s="101"/>
    </row>
    <row r="42" spans="1:7" ht="20" customHeight="1" x14ac:dyDescent="0.2">
      <c r="A42" s="27" t="s">
        <v>169</v>
      </c>
      <c r="B42" s="28" t="s">
        <v>173</v>
      </c>
      <c r="C42" s="37">
        <v>0</v>
      </c>
      <c r="D42" s="107"/>
      <c r="E42" s="110"/>
      <c r="F42" s="129"/>
      <c r="G42" s="101"/>
    </row>
    <row r="43" spans="1:7" ht="20" customHeight="1" x14ac:dyDescent="0.2">
      <c r="A43" s="27" t="s">
        <v>170</v>
      </c>
      <c r="B43" s="28" t="s">
        <v>174</v>
      </c>
      <c r="C43" s="37">
        <v>0</v>
      </c>
      <c r="D43" s="107"/>
      <c r="E43" s="110"/>
      <c r="F43" s="129"/>
      <c r="G43" s="101"/>
    </row>
    <row r="44" spans="1:7" ht="20" customHeight="1" x14ac:dyDescent="0.2">
      <c r="A44" s="31" t="s">
        <v>368</v>
      </c>
      <c r="B44" s="28" t="s">
        <v>175</v>
      </c>
      <c r="C44" s="37">
        <v>0</v>
      </c>
      <c r="D44" s="107"/>
      <c r="E44" s="110"/>
      <c r="F44" s="129"/>
      <c r="G44" s="101"/>
    </row>
    <row r="45" spans="1:7" ht="20" customHeight="1" x14ac:dyDescent="0.2">
      <c r="A45" s="31" t="s">
        <v>369</v>
      </c>
      <c r="B45" s="28" t="s">
        <v>176</v>
      </c>
      <c r="C45" s="37">
        <v>0</v>
      </c>
      <c r="D45" s="107"/>
      <c r="E45" s="110"/>
      <c r="F45" s="129"/>
      <c r="G45" s="101"/>
    </row>
    <row r="46" spans="1:7" ht="20" customHeight="1" x14ac:dyDescent="0.2">
      <c r="A46" s="78" t="s">
        <v>415</v>
      </c>
      <c r="B46" s="79"/>
      <c r="C46" s="35"/>
      <c r="D46" s="107"/>
      <c r="E46" s="110"/>
      <c r="F46" s="129"/>
      <c r="G46" s="101"/>
    </row>
    <row r="47" spans="1:7" ht="20" customHeight="1" x14ac:dyDescent="0.2">
      <c r="A47" s="27" t="s">
        <v>12</v>
      </c>
      <c r="B47" s="28" t="s">
        <v>179</v>
      </c>
      <c r="C47" s="37">
        <v>0</v>
      </c>
      <c r="D47" s="107"/>
      <c r="E47" s="110"/>
      <c r="F47" s="129"/>
      <c r="G47" s="101"/>
    </row>
    <row r="48" spans="1:7" ht="20" customHeight="1" x14ac:dyDescent="0.2">
      <c r="A48" s="27" t="s">
        <v>13</v>
      </c>
      <c r="B48" s="28" t="s">
        <v>180</v>
      </c>
      <c r="C48" s="37">
        <v>0</v>
      </c>
      <c r="D48" s="107"/>
      <c r="E48" s="110"/>
      <c r="F48" s="129"/>
      <c r="G48" s="101"/>
    </row>
    <row r="49" spans="1:7" ht="20" customHeight="1" x14ac:dyDescent="0.2">
      <c r="A49" s="27" t="s">
        <v>177</v>
      </c>
      <c r="B49" s="28" t="s">
        <v>181</v>
      </c>
      <c r="C49" s="37">
        <v>0</v>
      </c>
      <c r="D49" s="107"/>
      <c r="E49" s="110"/>
      <c r="F49" s="129"/>
      <c r="G49" s="101"/>
    </row>
    <row r="50" spans="1:7" ht="20" customHeight="1" x14ac:dyDescent="0.2">
      <c r="A50" s="27" t="s">
        <v>178</v>
      </c>
      <c r="B50" s="28" t="s">
        <v>182</v>
      </c>
      <c r="C50" s="37">
        <v>0</v>
      </c>
      <c r="D50" s="107"/>
      <c r="E50" s="110"/>
      <c r="F50" s="129"/>
      <c r="G50" s="101"/>
    </row>
    <row r="51" spans="1:7" ht="20" customHeight="1" x14ac:dyDescent="0.2">
      <c r="A51" s="31" t="s">
        <v>370</v>
      </c>
      <c r="B51" s="28" t="s">
        <v>183</v>
      </c>
      <c r="C51" s="37">
        <v>0</v>
      </c>
      <c r="D51" s="107"/>
      <c r="E51" s="110"/>
      <c r="F51" s="129"/>
      <c r="G51" s="101"/>
    </row>
    <row r="52" spans="1:7" ht="20" customHeight="1" x14ac:dyDescent="0.2">
      <c r="A52" s="31" t="s">
        <v>371</v>
      </c>
      <c r="B52" s="28" t="s">
        <v>184</v>
      </c>
      <c r="C52" s="37">
        <v>0</v>
      </c>
      <c r="D52" s="108"/>
      <c r="E52" s="111"/>
      <c r="F52" s="129"/>
      <c r="G52" s="101"/>
    </row>
    <row r="53" spans="1:7" ht="20" customHeight="1" x14ac:dyDescent="0.2">
      <c r="A53" s="78" t="s">
        <v>493</v>
      </c>
      <c r="B53" s="79"/>
      <c r="C53" s="35"/>
      <c r="D53" s="35"/>
      <c r="E53" s="35"/>
      <c r="F53" s="129"/>
      <c r="G53" s="101"/>
    </row>
    <row r="54" spans="1:7" ht="187" customHeight="1" x14ac:dyDescent="0.2">
      <c r="A54" s="39" t="s">
        <v>440</v>
      </c>
      <c r="B54" s="28" t="s">
        <v>442</v>
      </c>
      <c r="C54" s="40">
        <v>7551000</v>
      </c>
      <c r="D54" s="41" t="s">
        <v>410</v>
      </c>
      <c r="E54" s="112" t="s">
        <v>593</v>
      </c>
      <c r="F54" s="129"/>
      <c r="G54" s="101"/>
    </row>
    <row r="55" spans="1:7" ht="200" customHeight="1" thickBot="1" x14ac:dyDescent="0.25">
      <c r="A55" s="39" t="s">
        <v>441</v>
      </c>
      <c r="B55" s="28" t="s">
        <v>443</v>
      </c>
      <c r="C55" s="40">
        <v>10853000</v>
      </c>
      <c r="D55" s="41" t="s">
        <v>411</v>
      </c>
      <c r="E55" s="112"/>
      <c r="F55" s="130"/>
      <c r="G55" s="101"/>
    </row>
    <row r="56" spans="1:7" ht="14.5" customHeight="1" x14ac:dyDescent="0.2">
      <c r="A56" s="76" t="s">
        <v>416</v>
      </c>
      <c r="B56" s="77"/>
      <c r="C56" s="21"/>
      <c r="D56" s="21"/>
      <c r="E56" s="22"/>
      <c r="F56" s="22"/>
      <c r="G56" s="101"/>
    </row>
    <row r="57" spans="1:7" ht="20" customHeight="1" x14ac:dyDescent="0.2">
      <c r="A57" s="78" t="s">
        <v>444</v>
      </c>
      <c r="B57" s="79"/>
      <c r="C57" s="35"/>
      <c r="D57" s="35"/>
      <c r="E57" s="26"/>
      <c r="F57" s="26"/>
      <c r="G57" s="101"/>
    </row>
    <row r="58" spans="1:7" ht="20" customHeight="1" x14ac:dyDescent="0.2">
      <c r="A58" s="27" t="s">
        <v>445</v>
      </c>
      <c r="B58" s="28" t="s">
        <v>446</v>
      </c>
      <c r="C58" s="43">
        <v>1</v>
      </c>
      <c r="D58" s="113" t="s">
        <v>591</v>
      </c>
      <c r="E58" s="114"/>
      <c r="F58" s="44"/>
      <c r="G58" s="101"/>
    </row>
    <row r="59" spans="1:7" ht="20" customHeight="1" x14ac:dyDescent="0.2">
      <c r="A59" s="27" t="s">
        <v>447</v>
      </c>
      <c r="B59" s="28" t="s">
        <v>592</v>
      </c>
      <c r="C59" s="45">
        <v>0</v>
      </c>
      <c r="D59" s="100"/>
      <c r="E59" s="101"/>
      <c r="F59" s="46"/>
      <c r="G59" s="101"/>
    </row>
    <row r="60" spans="1:7" ht="20" customHeight="1" x14ac:dyDescent="0.2">
      <c r="A60" s="78" t="s">
        <v>448</v>
      </c>
      <c r="B60" s="79"/>
      <c r="C60" s="35"/>
      <c r="D60" s="100"/>
      <c r="E60" s="101"/>
      <c r="F60" s="46"/>
      <c r="G60" s="101"/>
    </row>
    <row r="61" spans="1:7" ht="20" customHeight="1" x14ac:dyDescent="0.2">
      <c r="A61" s="27" t="s">
        <v>450</v>
      </c>
      <c r="B61" s="28" t="s">
        <v>449</v>
      </c>
      <c r="C61" s="43">
        <v>1</v>
      </c>
      <c r="D61" s="100"/>
      <c r="E61" s="101"/>
      <c r="F61" s="46"/>
      <c r="G61" s="101"/>
    </row>
    <row r="62" spans="1:7" ht="20" customHeight="1" x14ac:dyDescent="0.2">
      <c r="A62" s="27" t="s">
        <v>451</v>
      </c>
      <c r="B62" s="28" t="s">
        <v>594</v>
      </c>
      <c r="C62" s="45">
        <v>0</v>
      </c>
      <c r="D62" s="100"/>
      <c r="E62" s="101"/>
      <c r="F62" s="46"/>
      <c r="G62" s="101"/>
    </row>
    <row r="63" spans="1:7" ht="20" customHeight="1" x14ac:dyDescent="0.2">
      <c r="A63" s="78" t="s">
        <v>494</v>
      </c>
      <c r="B63" s="79"/>
      <c r="C63" s="35"/>
      <c r="D63" s="100"/>
      <c r="E63" s="101"/>
      <c r="F63" s="46"/>
      <c r="G63" s="101"/>
    </row>
    <row r="64" spans="1:7" ht="20" customHeight="1" x14ac:dyDescent="0.2">
      <c r="A64" s="27" t="s">
        <v>452</v>
      </c>
      <c r="B64" s="28" t="s">
        <v>454</v>
      </c>
      <c r="C64" s="43">
        <v>1</v>
      </c>
      <c r="D64" s="100"/>
      <c r="E64" s="101"/>
      <c r="F64" s="46"/>
      <c r="G64" s="101"/>
    </row>
    <row r="65" spans="1:7" ht="20" customHeight="1" x14ac:dyDescent="0.2">
      <c r="A65" s="27" t="s">
        <v>453</v>
      </c>
      <c r="B65" s="28" t="s">
        <v>595</v>
      </c>
      <c r="C65" s="45">
        <v>0</v>
      </c>
      <c r="D65" s="100"/>
      <c r="E65" s="101"/>
      <c r="F65" s="46"/>
      <c r="G65" s="101"/>
    </row>
    <row r="66" spans="1:7" ht="20" customHeight="1" x14ac:dyDescent="0.2">
      <c r="A66" s="78" t="s">
        <v>495</v>
      </c>
      <c r="B66" s="79"/>
      <c r="C66" s="35"/>
      <c r="D66" s="100"/>
      <c r="E66" s="101"/>
      <c r="F66" s="46"/>
      <c r="G66" s="101"/>
    </row>
    <row r="67" spans="1:7" ht="20" customHeight="1" x14ac:dyDescent="0.2">
      <c r="A67" s="47" t="s">
        <v>185</v>
      </c>
      <c r="B67" s="28" t="s">
        <v>417</v>
      </c>
      <c r="C67" s="43">
        <v>1</v>
      </c>
      <c r="D67" s="100"/>
      <c r="E67" s="101"/>
      <c r="F67" s="46"/>
      <c r="G67" s="101"/>
    </row>
    <row r="68" spans="1:7" ht="20" customHeight="1" x14ac:dyDescent="0.2">
      <c r="A68" s="48" t="s">
        <v>186</v>
      </c>
      <c r="B68" s="28" t="s">
        <v>455</v>
      </c>
      <c r="C68" s="45">
        <v>0</v>
      </c>
      <c r="D68" s="100"/>
      <c r="E68" s="101"/>
      <c r="F68" s="46"/>
      <c r="G68" s="101"/>
    </row>
    <row r="69" spans="1:7" ht="20" customHeight="1" x14ac:dyDescent="0.2">
      <c r="A69" s="48" t="s">
        <v>187</v>
      </c>
      <c r="B69" s="28" t="s">
        <v>120</v>
      </c>
      <c r="C69" s="43">
        <v>0</v>
      </c>
      <c r="D69" s="100"/>
      <c r="E69" s="101"/>
      <c r="F69" s="46"/>
      <c r="G69" s="101"/>
    </row>
    <row r="70" spans="1:7" ht="20" customHeight="1" x14ac:dyDescent="0.2">
      <c r="A70" s="48" t="s">
        <v>188</v>
      </c>
      <c r="B70" s="28" t="s">
        <v>121</v>
      </c>
      <c r="C70" s="45">
        <v>0</v>
      </c>
      <c r="D70" s="100"/>
      <c r="E70" s="101"/>
      <c r="F70" s="46"/>
      <c r="G70" s="101"/>
    </row>
    <row r="71" spans="1:7" ht="20" customHeight="1" x14ac:dyDescent="0.2">
      <c r="A71" s="48" t="s">
        <v>189</v>
      </c>
      <c r="B71" s="28" t="s">
        <v>122</v>
      </c>
      <c r="C71" s="43">
        <v>0</v>
      </c>
      <c r="D71" s="100"/>
      <c r="E71" s="101"/>
      <c r="F71" s="46"/>
      <c r="G71" s="101"/>
    </row>
    <row r="72" spans="1:7" ht="20" customHeight="1" x14ac:dyDescent="0.2">
      <c r="A72" s="48" t="s">
        <v>190</v>
      </c>
      <c r="B72" s="28" t="s">
        <v>123</v>
      </c>
      <c r="C72" s="45">
        <v>0</v>
      </c>
      <c r="D72" s="100"/>
      <c r="E72" s="101"/>
      <c r="F72" s="46"/>
      <c r="G72" s="101"/>
    </row>
    <row r="73" spans="1:7" ht="20" customHeight="1" x14ac:dyDescent="0.2">
      <c r="A73" s="78" t="s">
        <v>496</v>
      </c>
      <c r="B73" s="79"/>
      <c r="C73" s="35"/>
      <c r="D73" s="100"/>
      <c r="E73" s="101"/>
      <c r="F73" s="46"/>
      <c r="G73" s="101"/>
    </row>
    <row r="74" spans="1:7" ht="20" customHeight="1" x14ac:dyDescent="0.2">
      <c r="A74" s="27" t="s">
        <v>191</v>
      </c>
      <c r="B74" s="28" t="s">
        <v>456</v>
      </c>
      <c r="C74" s="45">
        <v>0</v>
      </c>
      <c r="D74" s="100"/>
      <c r="E74" s="101"/>
      <c r="F74" s="46"/>
      <c r="G74" s="101"/>
    </row>
    <row r="75" spans="1:7" ht="20" customHeight="1" x14ac:dyDescent="0.2">
      <c r="A75" s="27" t="s">
        <v>192</v>
      </c>
      <c r="B75" s="28" t="s">
        <v>196</v>
      </c>
      <c r="C75" s="43">
        <v>0</v>
      </c>
      <c r="D75" s="100"/>
      <c r="E75" s="101"/>
      <c r="F75" s="46"/>
      <c r="G75" s="101"/>
    </row>
    <row r="76" spans="1:7" ht="20" customHeight="1" x14ac:dyDescent="0.2">
      <c r="A76" s="27" t="s">
        <v>193</v>
      </c>
      <c r="B76" s="28" t="s">
        <v>197</v>
      </c>
      <c r="C76" s="45">
        <v>0</v>
      </c>
      <c r="D76" s="100"/>
      <c r="E76" s="101"/>
      <c r="F76" s="46"/>
      <c r="G76" s="101"/>
    </row>
    <row r="77" spans="1:7" ht="20" customHeight="1" x14ac:dyDescent="0.2">
      <c r="A77" s="27" t="s">
        <v>194</v>
      </c>
      <c r="B77" s="28" t="s">
        <v>198</v>
      </c>
      <c r="C77" s="43">
        <v>0</v>
      </c>
      <c r="D77" s="100"/>
      <c r="E77" s="101"/>
      <c r="F77" s="46"/>
      <c r="G77" s="101"/>
    </row>
    <row r="78" spans="1:7" ht="20" customHeight="1" x14ac:dyDescent="0.2">
      <c r="A78" s="27" t="s">
        <v>195</v>
      </c>
      <c r="B78" s="28" t="s">
        <v>199</v>
      </c>
      <c r="C78" s="45">
        <v>0</v>
      </c>
      <c r="D78" s="100"/>
      <c r="E78" s="101"/>
      <c r="F78" s="46"/>
      <c r="G78" s="101"/>
    </row>
    <row r="79" spans="1:7" ht="20" customHeight="1" x14ac:dyDescent="0.2">
      <c r="A79" s="78" t="s">
        <v>497</v>
      </c>
      <c r="B79" s="79"/>
      <c r="C79" s="35"/>
      <c r="D79" s="100"/>
      <c r="E79" s="101"/>
      <c r="F79" s="46"/>
      <c r="G79" s="101"/>
    </row>
    <row r="80" spans="1:7" ht="20" customHeight="1" x14ac:dyDescent="0.2">
      <c r="A80" s="27" t="s">
        <v>372</v>
      </c>
      <c r="B80" s="28" t="s">
        <v>457</v>
      </c>
      <c r="C80" s="45">
        <v>0</v>
      </c>
      <c r="D80" s="100"/>
      <c r="E80" s="101"/>
      <c r="F80" s="46"/>
      <c r="G80" s="101"/>
    </row>
    <row r="81" spans="1:7" ht="20" customHeight="1" x14ac:dyDescent="0.2">
      <c r="A81" s="27" t="s">
        <v>373</v>
      </c>
      <c r="B81" s="28" t="s">
        <v>418</v>
      </c>
      <c r="C81" s="43">
        <v>0</v>
      </c>
      <c r="D81" s="100"/>
      <c r="E81" s="101"/>
      <c r="F81" s="46"/>
      <c r="G81" s="101"/>
    </row>
    <row r="82" spans="1:7" ht="20" customHeight="1" x14ac:dyDescent="0.2">
      <c r="A82" s="27" t="s">
        <v>374</v>
      </c>
      <c r="B82" s="28" t="s">
        <v>419</v>
      </c>
      <c r="C82" s="45">
        <v>0</v>
      </c>
      <c r="D82" s="100"/>
      <c r="E82" s="101"/>
      <c r="F82" s="46"/>
      <c r="G82" s="101"/>
    </row>
    <row r="83" spans="1:7" ht="20" customHeight="1" x14ac:dyDescent="0.2">
      <c r="A83" s="27" t="s">
        <v>375</v>
      </c>
      <c r="B83" s="28" t="s">
        <v>568</v>
      </c>
      <c r="C83" s="43">
        <v>0</v>
      </c>
      <c r="D83" s="100"/>
      <c r="E83" s="101"/>
      <c r="F83" s="46"/>
      <c r="G83" s="101"/>
    </row>
    <row r="84" spans="1:7" ht="20" customHeight="1" x14ac:dyDescent="0.2">
      <c r="A84" s="27" t="s">
        <v>376</v>
      </c>
      <c r="B84" s="28" t="s">
        <v>569</v>
      </c>
      <c r="C84" s="45">
        <v>0</v>
      </c>
      <c r="D84" s="100"/>
      <c r="E84" s="101"/>
      <c r="F84" s="46"/>
      <c r="G84" s="101"/>
    </row>
    <row r="85" spans="1:7" ht="20" customHeight="1" x14ac:dyDescent="0.2">
      <c r="A85" s="78" t="s">
        <v>461</v>
      </c>
      <c r="B85" s="79"/>
      <c r="C85" s="35"/>
      <c r="D85" s="100"/>
      <c r="E85" s="101"/>
      <c r="F85" s="46"/>
      <c r="G85" s="101"/>
    </row>
    <row r="86" spans="1:7" ht="20" customHeight="1" x14ac:dyDescent="0.2">
      <c r="A86" s="27" t="s">
        <v>459</v>
      </c>
      <c r="B86" s="28" t="s">
        <v>458</v>
      </c>
      <c r="C86" s="43">
        <v>1</v>
      </c>
      <c r="D86" s="100"/>
      <c r="E86" s="101"/>
      <c r="F86" s="46"/>
      <c r="G86" s="101"/>
    </row>
    <row r="87" spans="1:7" ht="20" customHeight="1" x14ac:dyDescent="0.2">
      <c r="A87" s="27" t="s">
        <v>460</v>
      </c>
      <c r="B87" s="28" t="s">
        <v>570</v>
      </c>
      <c r="C87" s="45">
        <v>0</v>
      </c>
      <c r="D87" s="100"/>
      <c r="E87" s="101"/>
      <c r="F87" s="46"/>
      <c r="G87" s="101"/>
    </row>
    <row r="88" spans="1:7" ht="20" customHeight="1" x14ac:dyDescent="0.2">
      <c r="A88" s="78" t="s">
        <v>462</v>
      </c>
      <c r="B88" s="79"/>
      <c r="C88" s="35"/>
      <c r="D88" s="100"/>
      <c r="E88" s="101"/>
      <c r="F88" s="46"/>
      <c r="G88" s="101"/>
    </row>
    <row r="89" spans="1:7" ht="20" customHeight="1" x14ac:dyDescent="0.2">
      <c r="A89" s="27" t="s">
        <v>464</v>
      </c>
      <c r="B89" s="28" t="s">
        <v>463</v>
      </c>
      <c r="C89" s="43">
        <v>1</v>
      </c>
      <c r="D89" s="100"/>
      <c r="E89" s="101"/>
      <c r="F89" s="46"/>
      <c r="G89" s="101"/>
    </row>
    <row r="90" spans="1:7" ht="20" customHeight="1" x14ac:dyDescent="0.2">
      <c r="A90" s="27" t="s">
        <v>465</v>
      </c>
      <c r="B90" s="28" t="s">
        <v>571</v>
      </c>
      <c r="C90" s="45">
        <v>0</v>
      </c>
      <c r="D90" s="100"/>
      <c r="E90" s="101"/>
      <c r="F90" s="46"/>
      <c r="G90" s="101"/>
    </row>
    <row r="91" spans="1:7" ht="20" customHeight="1" x14ac:dyDescent="0.2">
      <c r="A91" s="78" t="s">
        <v>466</v>
      </c>
      <c r="B91" s="79"/>
      <c r="C91" s="35"/>
      <c r="D91" s="100"/>
      <c r="E91" s="101"/>
      <c r="F91" s="46"/>
      <c r="G91" s="101"/>
    </row>
    <row r="92" spans="1:7" ht="20" customHeight="1" x14ac:dyDescent="0.2">
      <c r="A92" s="27" t="s">
        <v>467</v>
      </c>
      <c r="B92" s="28" t="s">
        <v>469</v>
      </c>
      <c r="C92" s="43">
        <v>1</v>
      </c>
      <c r="D92" s="100"/>
      <c r="E92" s="101"/>
      <c r="F92" s="46"/>
      <c r="G92" s="101"/>
    </row>
    <row r="93" spans="1:7" ht="20" customHeight="1" x14ac:dyDescent="0.2">
      <c r="A93" s="27" t="s">
        <v>468</v>
      </c>
      <c r="B93" s="28" t="s">
        <v>572</v>
      </c>
      <c r="C93" s="45">
        <v>0</v>
      </c>
      <c r="D93" s="100"/>
      <c r="E93" s="101"/>
      <c r="F93" s="46"/>
      <c r="G93" s="101"/>
    </row>
    <row r="94" spans="1:7" ht="20" customHeight="1" x14ac:dyDescent="0.2">
      <c r="A94" s="78" t="s">
        <v>470</v>
      </c>
      <c r="B94" s="79"/>
      <c r="C94" s="35"/>
      <c r="D94" s="100"/>
      <c r="E94" s="101"/>
      <c r="F94" s="46"/>
      <c r="G94" s="101"/>
    </row>
    <row r="95" spans="1:7" ht="20" customHeight="1" x14ac:dyDescent="0.2">
      <c r="A95" s="27" t="s">
        <v>471</v>
      </c>
      <c r="B95" s="28" t="s">
        <v>498</v>
      </c>
      <c r="C95" s="43">
        <v>1</v>
      </c>
      <c r="D95" s="100"/>
      <c r="E95" s="101"/>
      <c r="F95" s="46"/>
      <c r="G95" s="101"/>
    </row>
    <row r="96" spans="1:7" ht="20" customHeight="1" x14ac:dyDescent="0.2">
      <c r="A96" s="27" t="s">
        <v>499</v>
      </c>
      <c r="B96" s="28" t="s">
        <v>500</v>
      </c>
      <c r="C96" s="45">
        <v>0</v>
      </c>
      <c r="D96" s="100"/>
      <c r="E96" s="101"/>
      <c r="F96" s="46"/>
      <c r="G96" s="101"/>
    </row>
    <row r="97" spans="1:7" ht="20" customHeight="1" x14ac:dyDescent="0.2">
      <c r="A97" s="27" t="s">
        <v>501</v>
      </c>
      <c r="B97" s="28" t="s">
        <v>502</v>
      </c>
      <c r="C97" s="43">
        <v>0</v>
      </c>
      <c r="D97" s="100"/>
      <c r="E97" s="101"/>
      <c r="F97" s="46"/>
      <c r="G97" s="101"/>
    </row>
    <row r="98" spans="1:7" ht="20" customHeight="1" x14ac:dyDescent="0.2">
      <c r="A98" s="27" t="s">
        <v>503</v>
      </c>
      <c r="B98" s="28" t="s">
        <v>504</v>
      </c>
      <c r="C98" s="45">
        <v>0</v>
      </c>
      <c r="D98" s="100"/>
      <c r="E98" s="101"/>
      <c r="F98" s="46"/>
      <c r="G98" s="101"/>
    </row>
    <row r="99" spans="1:7" ht="20" customHeight="1" x14ac:dyDescent="0.2">
      <c r="A99" s="27" t="s">
        <v>505</v>
      </c>
      <c r="B99" s="28" t="s">
        <v>573</v>
      </c>
      <c r="C99" s="43">
        <v>0</v>
      </c>
      <c r="D99" s="100"/>
      <c r="E99" s="101"/>
      <c r="F99" s="46"/>
      <c r="G99" s="101"/>
    </row>
    <row r="100" spans="1:7" ht="20" customHeight="1" x14ac:dyDescent="0.2">
      <c r="A100" s="27" t="s">
        <v>506</v>
      </c>
      <c r="B100" s="28" t="s">
        <v>574</v>
      </c>
      <c r="C100" s="45">
        <v>0</v>
      </c>
      <c r="D100" s="100"/>
      <c r="E100" s="101"/>
      <c r="F100" s="46"/>
      <c r="G100" s="101"/>
    </row>
    <row r="101" spans="1:7" ht="20" customHeight="1" x14ac:dyDescent="0.2">
      <c r="A101" s="78" t="s">
        <v>472</v>
      </c>
      <c r="B101" s="79"/>
      <c r="C101" s="35"/>
      <c r="D101" s="100"/>
      <c r="E101" s="101"/>
      <c r="F101" s="46"/>
      <c r="G101" s="101"/>
    </row>
    <row r="102" spans="1:7" ht="20" customHeight="1" x14ac:dyDescent="0.2">
      <c r="A102" s="27" t="s">
        <v>516</v>
      </c>
      <c r="B102" s="28" t="s">
        <v>523</v>
      </c>
      <c r="C102" s="45">
        <v>0</v>
      </c>
      <c r="D102" s="100"/>
      <c r="E102" s="101"/>
      <c r="F102" s="46"/>
      <c r="G102" s="101"/>
    </row>
    <row r="103" spans="1:7" ht="20" customHeight="1" x14ac:dyDescent="0.2">
      <c r="A103" s="27" t="s">
        <v>517</v>
      </c>
      <c r="B103" s="28" t="s">
        <v>521</v>
      </c>
      <c r="C103" s="43">
        <v>0</v>
      </c>
      <c r="D103" s="100"/>
      <c r="E103" s="101"/>
      <c r="F103" s="46"/>
      <c r="G103" s="101"/>
    </row>
    <row r="104" spans="1:7" ht="20" customHeight="1" x14ac:dyDescent="0.2">
      <c r="A104" s="27" t="s">
        <v>518</v>
      </c>
      <c r="B104" s="28" t="s">
        <v>522</v>
      </c>
      <c r="C104" s="45">
        <v>0</v>
      </c>
      <c r="D104" s="100"/>
      <c r="E104" s="101"/>
      <c r="F104" s="46"/>
      <c r="G104" s="101"/>
    </row>
    <row r="105" spans="1:7" ht="20" customHeight="1" x14ac:dyDescent="0.2">
      <c r="A105" s="27" t="s">
        <v>519</v>
      </c>
      <c r="B105" s="28" t="s">
        <v>575</v>
      </c>
      <c r="C105" s="43">
        <v>0</v>
      </c>
      <c r="D105" s="100"/>
      <c r="E105" s="101"/>
      <c r="F105" s="46"/>
      <c r="G105" s="101"/>
    </row>
    <row r="106" spans="1:7" ht="20" customHeight="1" x14ac:dyDescent="0.2">
      <c r="A106" s="27" t="s">
        <v>520</v>
      </c>
      <c r="B106" s="28" t="s">
        <v>576</v>
      </c>
      <c r="C106" s="45">
        <v>0</v>
      </c>
      <c r="D106" s="100"/>
      <c r="E106" s="101"/>
      <c r="F106" s="46"/>
      <c r="G106" s="101"/>
    </row>
    <row r="107" spans="1:7" ht="20" customHeight="1" x14ac:dyDescent="0.2">
      <c r="A107" s="78" t="s">
        <v>473</v>
      </c>
      <c r="B107" s="79"/>
      <c r="C107" s="35"/>
      <c r="D107" s="100"/>
      <c r="E107" s="101"/>
      <c r="F107" s="46"/>
      <c r="G107" s="101"/>
    </row>
    <row r="108" spans="1:7" ht="20" customHeight="1" x14ac:dyDescent="0.2">
      <c r="A108" s="27" t="s">
        <v>524</v>
      </c>
      <c r="B108" s="28" t="s">
        <v>529</v>
      </c>
      <c r="C108" s="45">
        <v>0</v>
      </c>
      <c r="D108" s="100"/>
      <c r="E108" s="101"/>
      <c r="F108" s="46"/>
      <c r="G108" s="101"/>
    </row>
    <row r="109" spans="1:7" ht="20" customHeight="1" x14ac:dyDescent="0.2">
      <c r="A109" s="27" t="s">
        <v>525</v>
      </c>
      <c r="B109" s="28" t="s">
        <v>530</v>
      </c>
      <c r="C109" s="43">
        <v>0</v>
      </c>
      <c r="D109" s="100"/>
      <c r="E109" s="101"/>
      <c r="F109" s="46"/>
      <c r="G109" s="101"/>
    </row>
    <row r="110" spans="1:7" ht="20" customHeight="1" x14ac:dyDescent="0.2">
      <c r="A110" s="27" t="s">
        <v>526</v>
      </c>
      <c r="B110" s="28" t="s">
        <v>531</v>
      </c>
      <c r="C110" s="45">
        <v>0</v>
      </c>
      <c r="D110" s="100"/>
      <c r="E110" s="101"/>
      <c r="F110" s="46"/>
      <c r="G110" s="101"/>
    </row>
    <row r="111" spans="1:7" ht="20" customHeight="1" x14ac:dyDescent="0.2">
      <c r="A111" s="27" t="s">
        <v>527</v>
      </c>
      <c r="B111" s="28" t="s">
        <v>577</v>
      </c>
      <c r="C111" s="43">
        <v>0</v>
      </c>
      <c r="D111" s="100"/>
      <c r="E111" s="101"/>
      <c r="F111" s="46"/>
      <c r="G111" s="101"/>
    </row>
    <row r="112" spans="1:7" ht="20" customHeight="1" x14ac:dyDescent="0.2">
      <c r="A112" s="27" t="s">
        <v>528</v>
      </c>
      <c r="B112" s="28" t="s">
        <v>578</v>
      </c>
      <c r="C112" s="45">
        <v>0</v>
      </c>
      <c r="D112" s="100"/>
      <c r="E112" s="101"/>
      <c r="F112" s="46"/>
      <c r="G112" s="101"/>
    </row>
    <row r="113" spans="1:7" ht="20" customHeight="1" x14ac:dyDescent="0.2">
      <c r="A113" s="78" t="s">
        <v>474</v>
      </c>
      <c r="B113" s="79"/>
      <c r="C113" s="35"/>
      <c r="D113" s="100"/>
      <c r="E113" s="101"/>
      <c r="F113" s="46"/>
      <c r="G113" s="101"/>
    </row>
    <row r="114" spans="1:7" ht="20" customHeight="1" x14ac:dyDescent="0.2">
      <c r="A114" s="27" t="s">
        <v>475</v>
      </c>
      <c r="B114" s="28" t="s">
        <v>477</v>
      </c>
      <c r="C114" s="43">
        <v>1</v>
      </c>
      <c r="D114" s="100"/>
      <c r="E114" s="101"/>
      <c r="F114" s="46"/>
      <c r="G114" s="101"/>
    </row>
    <row r="115" spans="1:7" ht="20" customHeight="1" x14ac:dyDescent="0.2">
      <c r="A115" s="27" t="s">
        <v>476</v>
      </c>
      <c r="B115" s="28" t="s">
        <v>579</v>
      </c>
      <c r="C115" s="45">
        <v>0</v>
      </c>
      <c r="D115" s="100"/>
      <c r="E115" s="101"/>
      <c r="F115" s="46"/>
      <c r="G115" s="101"/>
    </row>
    <row r="116" spans="1:7" ht="20" customHeight="1" x14ac:dyDescent="0.2">
      <c r="A116" s="78" t="s">
        <v>478</v>
      </c>
      <c r="B116" s="79"/>
      <c r="C116" s="35"/>
      <c r="D116" s="100"/>
      <c r="E116" s="101"/>
      <c r="F116" s="46"/>
      <c r="G116" s="101"/>
    </row>
    <row r="117" spans="1:7" ht="20" customHeight="1" x14ac:dyDescent="0.2">
      <c r="A117" s="27" t="s">
        <v>536</v>
      </c>
      <c r="B117" s="28" t="s">
        <v>532</v>
      </c>
      <c r="C117" s="43">
        <v>1</v>
      </c>
      <c r="D117" s="100"/>
      <c r="E117" s="101"/>
      <c r="F117" s="46"/>
      <c r="G117" s="101"/>
    </row>
    <row r="118" spans="1:7" ht="20" customHeight="1" x14ac:dyDescent="0.2">
      <c r="A118" s="27" t="s">
        <v>537</v>
      </c>
      <c r="B118" s="28" t="s">
        <v>533</v>
      </c>
      <c r="C118" s="45">
        <v>0</v>
      </c>
      <c r="D118" s="100"/>
      <c r="E118" s="101"/>
      <c r="F118" s="46"/>
      <c r="G118" s="101"/>
    </row>
    <row r="119" spans="1:7" ht="20" customHeight="1" x14ac:dyDescent="0.2">
      <c r="A119" s="27" t="s">
        <v>538</v>
      </c>
      <c r="B119" s="28" t="s">
        <v>534</v>
      </c>
      <c r="C119" s="43">
        <v>0</v>
      </c>
      <c r="D119" s="100"/>
      <c r="E119" s="101"/>
      <c r="F119" s="46"/>
      <c r="G119" s="101"/>
    </row>
    <row r="120" spans="1:7" ht="20" customHeight="1" x14ac:dyDescent="0.2">
      <c r="A120" s="27" t="s">
        <v>539</v>
      </c>
      <c r="B120" s="28" t="s">
        <v>535</v>
      </c>
      <c r="C120" s="45">
        <v>0</v>
      </c>
      <c r="D120" s="100"/>
      <c r="E120" s="101"/>
      <c r="F120" s="46"/>
      <c r="G120" s="101"/>
    </row>
    <row r="121" spans="1:7" ht="20" customHeight="1" x14ac:dyDescent="0.2">
      <c r="A121" s="27" t="s">
        <v>540</v>
      </c>
      <c r="B121" s="28" t="s">
        <v>580</v>
      </c>
      <c r="C121" s="43">
        <v>0</v>
      </c>
      <c r="D121" s="100"/>
      <c r="E121" s="101"/>
      <c r="F121" s="46"/>
      <c r="G121" s="101"/>
    </row>
    <row r="122" spans="1:7" ht="20" customHeight="1" x14ac:dyDescent="0.2">
      <c r="A122" s="27" t="s">
        <v>541</v>
      </c>
      <c r="B122" s="28" t="s">
        <v>581</v>
      </c>
      <c r="C122" s="45">
        <v>0</v>
      </c>
      <c r="D122" s="100"/>
      <c r="E122" s="101"/>
      <c r="F122" s="46"/>
      <c r="G122" s="101"/>
    </row>
    <row r="123" spans="1:7" ht="20" customHeight="1" x14ac:dyDescent="0.2">
      <c r="A123" s="78" t="s">
        <v>486</v>
      </c>
      <c r="B123" s="79"/>
      <c r="C123" s="35"/>
      <c r="D123" s="100"/>
      <c r="E123" s="101"/>
      <c r="F123" s="46"/>
      <c r="G123" s="101"/>
    </row>
    <row r="124" spans="1:7" ht="20" customHeight="1" x14ac:dyDescent="0.2">
      <c r="A124" s="27" t="s">
        <v>479</v>
      </c>
      <c r="B124" s="28" t="s">
        <v>477</v>
      </c>
      <c r="C124" s="43">
        <v>1</v>
      </c>
      <c r="D124" s="100"/>
      <c r="E124" s="101"/>
      <c r="F124" s="46"/>
      <c r="G124" s="101"/>
    </row>
    <row r="125" spans="1:7" ht="20" customHeight="1" x14ac:dyDescent="0.2">
      <c r="A125" s="27" t="s">
        <v>480</v>
      </c>
      <c r="B125" s="28" t="s">
        <v>579</v>
      </c>
      <c r="C125" s="45">
        <v>0</v>
      </c>
      <c r="D125" s="100"/>
      <c r="E125" s="101"/>
      <c r="F125" s="46"/>
      <c r="G125" s="101"/>
    </row>
    <row r="126" spans="1:7" ht="20" customHeight="1" x14ac:dyDescent="0.2">
      <c r="A126" s="78" t="s">
        <v>487</v>
      </c>
      <c r="B126" s="79"/>
      <c r="C126" s="35"/>
      <c r="D126" s="100"/>
      <c r="E126" s="101"/>
      <c r="F126" s="46"/>
      <c r="G126" s="101"/>
    </row>
    <row r="127" spans="1:7" ht="20" customHeight="1" x14ac:dyDescent="0.2">
      <c r="A127" s="27" t="s">
        <v>14</v>
      </c>
      <c r="B127" s="28" t="s">
        <v>420</v>
      </c>
      <c r="C127" s="43">
        <v>1</v>
      </c>
      <c r="D127" s="100"/>
      <c r="E127" s="101"/>
      <c r="F127" s="46"/>
      <c r="G127" s="101"/>
    </row>
    <row r="128" spans="1:7" ht="20" customHeight="1" x14ac:dyDescent="0.2">
      <c r="A128" s="27" t="s">
        <v>15</v>
      </c>
      <c r="B128" s="28" t="s">
        <v>200</v>
      </c>
      <c r="C128" s="45">
        <v>0</v>
      </c>
      <c r="D128" s="100"/>
      <c r="E128" s="101"/>
      <c r="F128" s="46"/>
      <c r="G128" s="101"/>
    </row>
    <row r="129" spans="1:7" ht="20" customHeight="1" x14ac:dyDescent="0.2">
      <c r="A129" s="27" t="s">
        <v>16</v>
      </c>
      <c r="B129" s="28" t="s">
        <v>201</v>
      </c>
      <c r="C129" s="43">
        <v>0</v>
      </c>
      <c r="D129" s="100"/>
      <c r="E129" s="101"/>
      <c r="F129" s="46"/>
      <c r="G129" s="101"/>
    </row>
    <row r="130" spans="1:7" ht="20" customHeight="1" x14ac:dyDescent="0.2">
      <c r="A130" s="27" t="s">
        <v>17</v>
      </c>
      <c r="B130" s="28" t="s">
        <v>202</v>
      </c>
      <c r="C130" s="45">
        <v>0</v>
      </c>
      <c r="D130" s="100"/>
      <c r="E130" s="101"/>
      <c r="F130" s="46"/>
      <c r="G130" s="101"/>
    </row>
    <row r="131" spans="1:7" ht="20" customHeight="1" x14ac:dyDescent="0.2">
      <c r="A131" s="27" t="s">
        <v>18</v>
      </c>
      <c r="B131" s="28" t="s">
        <v>596</v>
      </c>
      <c r="C131" s="43">
        <v>0</v>
      </c>
      <c r="D131" s="100"/>
      <c r="E131" s="101"/>
      <c r="F131" s="46"/>
      <c r="G131" s="101"/>
    </row>
    <row r="132" spans="1:7" ht="20" customHeight="1" x14ac:dyDescent="0.2">
      <c r="A132" s="27" t="s">
        <v>19</v>
      </c>
      <c r="B132" s="28" t="s">
        <v>582</v>
      </c>
      <c r="C132" s="45">
        <v>0</v>
      </c>
      <c r="D132" s="100"/>
      <c r="E132" s="101"/>
      <c r="F132" s="46"/>
      <c r="G132" s="101"/>
    </row>
    <row r="133" spans="1:7" ht="20" customHeight="1" x14ac:dyDescent="0.2">
      <c r="A133" s="78" t="s">
        <v>560</v>
      </c>
      <c r="B133" s="79"/>
      <c r="C133" s="35"/>
      <c r="D133" s="100"/>
      <c r="E133" s="101"/>
      <c r="F133" s="46"/>
      <c r="G133" s="101"/>
    </row>
    <row r="134" spans="1:7" ht="20" customHeight="1" x14ac:dyDescent="0.2">
      <c r="A134" s="27" t="s">
        <v>20</v>
      </c>
      <c r="B134" s="28" t="s">
        <v>488</v>
      </c>
      <c r="C134" s="45">
        <v>0</v>
      </c>
      <c r="D134" s="100"/>
      <c r="E134" s="101"/>
      <c r="F134" s="46"/>
      <c r="G134" s="101"/>
    </row>
    <row r="135" spans="1:7" ht="20" customHeight="1" x14ac:dyDescent="0.2">
      <c r="A135" s="27" t="s">
        <v>21</v>
      </c>
      <c r="B135" s="28" t="s">
        <v>583</v>
      </c>
      <c r="C135" s="43">
        <v>0</v>
      </c>
      <c r="D135" s="100"/>
      <c r="E135" s="101"/>
      <c r="F135" s="46"/>
      <c r="G135" s="101"/>
    </row>
    <row r="136" spans="1:7" ht="20" customHeight="1" x14ac:dyDescent="0.2">
      <c r="A136" s="27" t="s">
        <v>22</v>
      </c>
      <c r="B136" s="28" t="s">
        <v>561</v>
      </c>
      <c r="C136" s="45">
        <v>0</v>
      </c>
      <c r="D136" s="100"/>
      <c r="E136" s="101"/>
      <c r="F136" s="46"/>
      <c r="G136" s="101"/>
    </row>
    <row r="137" spans="1:7" ht="20" customHeight="1" x14ac:dyDescent="0.2">
      <c r="A137" s="27" t="s">
        <v>23</v>
      </c>
      <c r="B137" s="28" t="s">
        <v>584</v>
      </c>
      <c r="C137" s="43">
        <v>0</v>
      </c>
      <c r="D137" s="100"/>
      <c r="E137" s="101"/>
      <c r="F137" s="46"/>
      <c r="G137" s="101"/>
    </row>
    <row r="138" spans="1:7" ht="20" customHeight="1" thickBot="1" x14ac:dyDescent="0.25">
      <c r="A138" s="27" t="s">
        <v>24</v>
      </c>
      <c r="B138" s="28" t="s">
        <v>585</v>
      </c>
      <c r="C138" s="45">
        <v>0</v>
      </c>
      <c r="D138" s="100"/>
      <c r="E138" s="101"/>
      <c r="F138" s="46"/>
      <c r="G138" s="101"/>
    </row>
    <row r="139" spans="1:7" ht="20" customHeight="1" x14ac:dyDescent="0.2">
      <c r="A139" s="76" t="s">
        <v>60</v>
      </c>
      <c r="B139" s="77"/>
      <c r="C139" s="21"/>
      <c r="D139" s="100"/>
      <c r="E139" s="101"/>
      <c r="F139" s="46"/>
      <c r="G139" s="101"/>
    </row>
    <row r="140" spans="1:7" ht="20" customHeight="1" x14ac:dyDescent="0.2">
      <c r="A140" s="78" t="s">
        <v>25</v>
      </c>
      <c r="B140" s="79"/>
      <c r="C140" s="35"/>
      <c r="D140" s="100"/>
      <c r="E140" s="101"/>
      <c r="F140" s="46"/>
      <c r="G140" s="101"/>
    </row>
    <row r="141" spans="1:7" ht="20" customHeight="1" x14ac:dyDescent="0.2">
      <c r="A141" s="39" t="s">
        <v>26</v>
      </c>
      <c r="B141" s="28" t="s">
        <v>124</v>
      </c>
      <c r="C141" s="45">
        <v>15</v>
      </c>
      <c r="D141" s="100"/>
      <c r="E141" s="101"/>
      <c r="F141" s="46"/>
      <c r="G141" s="101"/>
    </row>
    <row r="142" spans="1:7" ht="20" customHeight="1" x14ac:dyDescent="0.2">
      <c r="A142" s="39" t="s">
        <v>481</v>
      </c>
      <c r="B142" s="28" t="s">
        <v>482</v>
      </c>
      <c r="C142" s="45">
        <v>20</v>
      </c>
      <c r="D142" s="100"/>
      <c r="E142" s="101"/>
      <c r="F142" s="46"/>
      <c r="G142" s="101"/>
    </row>
    <row r="143" spans="1:7" ht="20" customHeight="1" x14ac:dyDescent="0.2">
      <c r="A143" s="39" t="s">
        <v>483</v>
      </c>
      <c r="B143" s="28" t="s">
        <v>421</v>
      </c>
      <c r="C143" s="45">
        <v>10</v>
      </c>
      <c r="D143" s="100"/>
      <c r="E143" s="101"/>
      <c r="F143" s="46"/>
      <c r="G143" s="101"/>
    </row>
    <row r="144" spans="1:7" ht="20" customHeight="1" x14ac:dyDescent="0.2">
      <c r="A144" s="39" t="s">
        <v>27</v>
      </c>
      <c r="B144" s="28" t="s">
        <v>422</v>
      </c>
      <c r="C144" s="45">
        <v>20</v>
      </c>
      <c r="D144" s="100"/>
      <c r="E144" s="101"/>
      <c r="F144" s="46"/>
      <c r="G144" s="101"/>
    </row>
    <row r="145" spans="1:7" ht="20" customHeight="1" x14ac:dyDescent="0.2">
      <c r="A145" s="39" t="s">
        <v>28</v>
      </c>
      <c r="B145" s="28" t="s">
        <v>53</v>
      </c>
      <c r="C145" s="45">
        <v>15</v>
      </c>
      <c r="D145" s="100"/>
      <c r="E145" s="101"/>
      <c r="F145" s="46"/>
      <c r="G145" s="101"/>
    </row>
    <row r="146" spans="1:7" ht="20" customHeight="1" x14ac:dyDescent="0.2">
      <c r="A146" s="39" t="s">
        <v>484</v>
      </c>
      <c r="B146" s="28" t="s">
        <v>559</v>
      </c>
      <c r="C146" s="45">
        <v>20</v>
      </c>
      <c r="D146" s="100"/>
      <c r="E146" s="101"/>
      <c r="F146" s="46"/>
      <c r="G146" s="101"/>
    </row>
    <row r="147" spans="1:7" ht="20" customHeight="1" x14ac:dyDescent="0.2">
      <c r="A147" s="39" t="s">
        <v>485</v>
      </c>
      <c r="B147" s="28" t="s">
        <v>423</v>
      </c>
      <c r="C147" s="45">
        <v>10</v>
      </c>
      <c r="D147" s="100"/>
      <c r="E147" s="101"/>
      <c r="F147" s="46"/>
      <c r="G147" s="101"/>
    </row>
    <row r="148" spans="1:7" ht="20" customHeight="1" thickBot="1" x14ac:dyDescent="0.25">
      <c r="A148" s="39" t="s">
        <v>29</v>
      </c>
      <c r="B148" s="28" t="s">
        <v>424</v>
      </c>
      <c r="C148" s="45">
        <v>20</v>
      </c>
      <c r="D148" s="100"/>
      <c r="E148" s="101"/>
      <c r="F148" s="49"/>
      <c r="G148" s="101"/>
    </row>
    <row r="149" spans="1:7" ht="20" customHeight="1" x14ac:dyDescent="0.2">
      <c r="A149" s="76" t="s">
        <v>425</v>
      </c>
      <c r="B149" s="77"/>
      <c r="C149" s="21"/>
      <c r="D149" s="21"/>
      <c r="E149" s="50"/>
      <c r="F149" s="22"/>
      <c r="G149" s="101"/>
    </row>
    <row r="150" spans="1:7" ht="20" customHeight="1" x14ac:dyDescent="0.2">
      <c r="A150" s="78" t="s">
        <v>489</v>
      </c>
      <c r="B150" s="79"/>
      <c r="C150" s="35"/>
      <c r="D150" s="23"/>
      <c r="E150" s="51"/>
      <c r="F150" s="25"/>
      <c r="G150" s="101"/>
    </row>
    <row r="151" spans="1:7" ht="154" customHeight="1" x14ac:dyDescent="0.2">
      <c r="A151" s="27" t="s">
        <v>490</v>
      </c>
      <c r="B151" s="28" t="s">
        <v>491</v>
      </c>
      <c r="C151" s="43">
        <v>0.86</v>
      </c>
      <c r="D151" s="104" t="s">
        <v>677</v>
      </c>
      <c r="E151" s="105"/>
      <c r="F151" s="52" t="s">
        <v>586</v>
      </c>
      <c r="G151" s="101"/>
    </row>
    <row r="152" spans="1:7" ht="193" customHeight="1" x14ac:dyDescent="0.2">
      <c r="A152" s="27" t="s">
        <v>103</v>
      </c>
      <c r="B152" s="28" t="s">
        <v>125</v>
      </c>
      <c r="C152" s="43">
        <v>0.71</v>
      </c>
      <c r="D152" s="104" t="s">
        <v>678</v>
      </c>
      <c r="E152" s="105"/>
      <c r="F152" s="53"/>
      <c r="G152" s="101"/>
    </row>
    <row r="153" spans="1:7" ht="20" customHeight="1" x14ac:dyDescent="0.2">
      <c r="A153" s="27" t="s">
        <v>126</v>
      </c>
      <c r="B153" s="28" t="s">
        <v>127</v>
      </c>
      <c r="C153" s="45">
        <v>122</v>
      </c>
      <c r="D153" s="100" t="s">
        <v>128</v>
      </c>
      <c r="E153" s="101"/>
      <c r="F153" s="53"/>
      <c r="G153" s="101"/>
    </row>
    <row r="154" spans="1:7" ht="20" customHeight="1" x14ac:dyDescent="0.2">
      <c r="A154" s="27" t="s">
        <v>129</v>
      </c>
      <c r="B154" s="28" t="s">
        <v>130</v>
      </c>
      <c r="C154" s="45">
        <v>123</v>
      </c>
      <c r="D154" s="100" t="s">
        <v>426</v>
      </c>
      <c r="E154" s="101"/>
      <c r="F154" s="53"/>
      <c r="G154" s="101"/>
    </row>
    <row r="155" spans="1:7" ht="20" customHeight="1" x14ac:dyDescent="0.2">
      <c r="A155" s="27" t="s">
        <v>131</v>
      </c>
      <c r="B155" s="28" t="s">
        <v>132</v>
      </c>
      <c r="C155" s="45">
        <v>209</v>
      </c>
      <c r="D155" s="100" t="s">
        <v>405</v>
      </c>
      <c r="E155" s="101"/>
      <c r="F155" s="53"/>
      <c r="G155" s="101"/>
    </row>
    <row r="156" spans="1:7" ht="20" customHeight="1" x14ac:dyDescent="0.2">
      <c r="A156" s="27" t="s">
        <v>133</v>
      </c>
      <c r="B156" s="28" t="s">
        <v>134</v>
      </c>
      <c r="C156" s="45">
        <v>75</v>
      </c>
      <c r="D156" s="100" t="s">
        <v>405</v>
      </c>
      <c r="E156" s="101"/>
      <c r="F156" s="53"/>
      <c r="G156" s="101"/>
    </row>
    <row r="157" spans="1:7" ht="20" customHeight="1" thickBot="1" x14ac:dyDescent="0.25">
      <c r="A157" s="27" t="s">
        <v>135</v>
      </c>
      <c r="B157" s="28" t="s">
        <v>136</v>
      </c>
      <c r="C157" s="45">
        <v>122</v>
      </c>
      <c r="D157" s="102" t="s">
        <v>405</v>
      </c>
      <c r="E157" s="103"/>
      <c r="F157" s="54"/>
      <c r="G157" s="101"/>
    </row>
    <row r="158" spans="1:7" ht="20" customHeight="1" x14ac:dyDescent="0.2">
      <c r="A158" s="76" t="s">
        <v>61</v>
      </c>
      <c r="B158" s="77"/>
      <c r="C158" s="21"/>
      <c r="D158" s="21"/>
      <c r="E158" s="22"/>
      <c r="F158" s="22"/>
      <c r="G158" s="101"/>
    </row>
    <row r="159" spans="1:7" ht="20" customHeight="1" x14ac:dyDescent="0.2">
      <c r="A159" s="78" t="s">
        <v>492</v>
      </c>
      <c r="B159" s="79"/>
      <c r="C159" s="35"/>
      <c r="D159" s="35"/>
      <c r="E159" s="26"/>
      <c r="F159" s="26"/>
      <c r="G159" s="101"/>
    </row>
    <row r="160" spans="1:7" ht="30" customHeight="1" x14ac:dyDescent="0.2">
      <c r="A160" s="39" t="s">
        <v>30</v>
      </c>
      <c r="B160" s="28" t="s">
        <v>55</v>
      </c>
      <c r="C160" s="43">
        <v>0.05</v>
      </c>
      <c r="D160" s="92" t="s">
        <v>679</v>
      </c>
      <c r="E160" s="93"/>
      <c r="F160" s="55"/>
      <c r="G160" s="101"/>
    </row>
    <row r="161" spans="1:7" ht="30" customHeight="1" x14ac:dyDescent="0.2">
      <c r="A161" s="39" t="s">
        <v>31</v>
      </c>
      <c r="B161" s="28" t="s">
        <v>56</v>
      </c>
      <c r="C161" s="43">
        <v>0.4</v>
      </c>
      <c r="D161" s="94"/>
      <c r="E161" s="95"/>
      <c r="F161" s="56"/>
      <c r="G161" s="101"/>
    </row>
    <row r="162" spans="1:7" ht="30" customHeight="1" x14ac:dyDescent="0.2">
      <c r="A162" s="39" t="s">
        <v>32</v>
      </c>
      <c r="B162" s="28" t="s">
        <v>57</v>
      </c>
      <c r="C162" s="43">
        <v>0.47</v>
      </c>
      <c r="D162" s="94"/>
      <c r="E162" s="95"/>
      <c r="F162" s="56"/>
      <c r="G162" s="101"/>
    </row>
    <row r="163" spans="1:7" ht="30" customHeight="1" x14ac:dyDescent="0.2">
      <c r="A163" s="39" t="s">
        <v>33</v>
      </c>
      <c r="B163" s="28" t="s">
        <v>58</v>
      </c>
      <c r="C163" s="43">
        <v>0.03</v>
      </c>
      <c r="D163" s="94"/>
      <c r="E163" s="95"/>
      <c r="F163" s="56"/>
      <c r="G163" s="101"/>
    </row>
    <row r="164" spans="1:7" ht="30" customHeight="1" x14ac:dyDescent="0.2">
      <c r="A164" s="39" t="s">
        <v>34</v>
      </c>
      <c r="B164" s="28" t="s">
        <v>59</v>
      </c>
      <c r="C164" s="43">
        <v>7.0000000000000007E-2</v>
      </c>
      <c r="D164" s="94"/>
      <c r="E164" s="95"/>
      <c r="F164" s="57"/>
      <c r="G164" s="101"/>
    </row>
    <row r="165" spans="1:7" ht="30" customHeight="1" x14ac:dyDescent="0.2">
      <c r="A165" s="27" t="s">
        <v>654</v>
      </c>
      <c r="B165" s="28" t="s">
        <v>55</v>
      </c>
      <c r="C165" s="43">
        <v>0.05</v>
      </c>
      <c r="D165" s="94"/>
      <c r="E165" s="95"/>
      <c r="F165" s="55"/>
      <c r="G165" s="101"/>
    </row>
    <row r="166" spans="1:7" ht="30" customHeight="1" x14ac:dyDescent="0.2">
      <c r="A166" s="27" t="s">
        <v>655</v>
      </c>
      <c r="B166" s="28" t="s">
        <v>56</v>
      </c>
      <c r="C166" s="43">
        <v>0.4</v>
      </c>
      <c r="D166" s="94"/>
      <c r="E166" s="95"/>
      <c r="F166" s="56"/>
      <c r="G166" s="101"/>
    </row>
    <row r="167" spans="1:7" ht="30" customHeight="1" x14ac:dyDescent="0.2">
      <c r="A167" s="27" t="s">
        <v>656</v>
      </c>
      <c r="B167" s="28" t="s">
        <v>57</v>
      </c>
      <c r="C167" s="43">
        <v>0.47</v>
      </c>
      <c r="D167" s="94"/>
      <c r="E167" s="95"/>
      <c r="F167" s="56"/>
      <c r="G167" s="101"/>
    </row>
    <row r="168" spans="1:7" ht="30" customHeight="1" x14ac:dyDescent="0.2">
      <c r="A168" s="27" t="s">
        <v>657</v>
      </c>
      <c r="B168" s="28" t="s">
        <v>58</v>
      </c>
      <c r="C168" s="43">
        <v>0.03</v>
      </c>
      <c r="D168" s="94"/>
      <c r="E168" s="95"/>
      <c r="F168" s="56"/>
      <c r="G168" s="101"/>
    </row>
    <row r="169" spans="1:7" ht="30" customHeight="1" thickBot="1" x14ac:dyDescent="0.25">
      <c r="A169" s="27" t="s">
        <v>658</v>
      </c>
      <c r="B169" s="28" t="s">
        <v>59</v>
      </c>
      <c r="C169" s="43">
        <v>7.0000000000000007E-2</v>
      </c>
      <c r="D169" s="96"/>
      <c r="E169" s="97"/>
      <c r="F169" s="57"/>
      <c r="G169" s="101"/>
    </row>
    <row r="170" spans="1:7" ht="20" customHeight="1" thickBot="1" x14ac:dyDescent="0.25">
      <c r="A170" s="98" t="s">
        <v>64</v>
      </c>
      <c r="B170" s="99"/>
      <c r="C170" s="35"/>
      <c r="D170" s="35"/>
      <c r="E170" s="58"/>
      <c r="F170" s="26"/>
      <c r="G170" s="101"/>
    </row>
    <row r="171" spans="1:7" ht="20" customHeight="1" x14ac:dyDescent="0.2">
      <c r="A171" s="39" t="s">
        <v>65</v>
      </c>
      <c r="B171" s="28" t="s">
        <v>427</v>
      </c>
      <c r="C171" s="45">
        <v>170</v>
      </c>
      <c r="D171" s="74" t="s">
        <v>137</v>
      </c>
      <c r="E171" s="75"/>
      <c r="F171" s="55"/>
      <c r="G171" s="101"/>
    </row>
    <row r="172" spans="1:7" ht="20" customHeight="1" x14ac:dyDescent="0.2">
      <c r="A172" s="39" t="s">
        <v>66</v>
      </c>
      <c r="B172" s="28" t="s">
        <v>138</v>
      </c>
      <c r="C172" s="45">
        <v>300</v>
      </c>
      <c r="D172" s="74" t="s">
        <v>139</v>
      </c>
      <c r="E172" s="75"/>
      <c r="F172" s="56"/>
      <c r="G172" s="101"/>
    </row>
    <row r="173" spans="1:7" ht="20" customHeight="1" x14ac:dyDescent="0.2">
      <c r="A173" s="39" t="s">
        <v>67</v>
      </c>
      <c r="B173" s="28" t="s">
        <v>140</v>
      </c>
      <c r="C173" s="45">
        <v>300</v>
      </c>
      <c r="D173" s="74" t="s">
        <v>139</v>
      </c>
      <c r="E173" s="75"/>
      <c r="F173" s="56"/>
      <c r="G173" s="101"/>
    </row>
    <row r="174" spans="1:7" ht="20" customHeight="1" x14ac:dyDescent="0.2">
      <c r="A174" s="39" t="s">
        <v>68</v>
      </c>
      <c r="B174" s="28" t="s">
        <v>428</v>
      </c>
      <c r="C174" s="45">
        <v>150</v>
      </c>
      <c r="D174" s="74" t="s">
        <v>429</v>
      </c>
      <c r="E174" s="75"/>
      <c r="F174" s="56"/>
      <c r="G174" s="101"/>
    </row>
    <row r="175" spans="1:7" ht="20" customHeight="1" thickBot="1" x14ac:dyDescent="0.25">
      <c r="A175" s="39" t="s">
        <v>69</v>
      </c>
      <c r="B175" s="28" t="s">
        <v>141</v>
      </c>
      <c r="C175" s="45">
        <v>80</v>
      </c>
      <c r="D175" s="74" t="s">
        <v>142</v>
      </c>
      <c r="E175" s="75"/>
      <c r="F175" s="57"/>
      <c r="G175" s="101"/>
    </row>
    <row r="176" spans="1:7" ht="20" customHeight="1" x14ac:dyDescent="0.2">
      <c r="A176" s="76" t="s">
        <v>61</v>
      </c>
      <c r="B176" s="77"/>
      <c r="C176" s="21"/>
      <c r="D176" s="21"/>
      <c r="E176" s="22"/>
      <c r="F176" s="22"/>
      <c r="G176" s="101"/>
    </row>
    <row r="177" spans="1:7" ht="20" customHeight="1" x14ac:dyDescent="0.2">
      <c r="A177" s="78" t="s">
        <v>492</v>
      </c>
      <c r="B177" s="79"/>
      <c r="C177" s="35"/>
      <c r="D177" s="35"/>
      <c r="E177" s="26"/>
      <c r="F177" s="26"/>
      <c r="G177" s="101"/>
    </row>
    <row r="178" spans="1:7" ht="42" customHeight="1" x14ac:dyDescent="0.2">
      <c r="A178" s="27" t="s">
        <v>203</v>
      </c>
      <c r="B178" s="32" t="s">
        <v>204</v>
      </c>
      <c r="C178" s="40">
        <v>0</v>
      </c>
      <c r="D178" s="80" t="s">
        <v>542</v>
      </c>
      <c r="E178" s="81"/>
      <c r="F178" s="32"/>
      <c r="G178" s="101"/>
    </row>
    <row r="179" spans="1:7" ht="14.5" customHeight="1" x14ac:dyDescent="0.2">
      <c r="A179" s="82" t="s">
        <v>62</v>
      </c>
      <c r="B179" s="83"/>
      <c r="C179" s="59"/>
      <c r="D179" s="59"/>
      <c r="E179" s="50"/>
      <c r="F179" s="50"/>
      <c r="G179" s="101"/>
    </row>
    <row r="180" spans="1:7" ht="14.5" customHeight="1" x14ac:dyDescent="0.2">
      <c r="A180" s="78" t="s">
        <v>35</v>
      </c>
      <c r="B180" s="79"/>
      <c r="C180" s="35"/>
      <c r="D180" s="35"/>
      <c r="E180" s="26"/>
      <c r="F180" s="26"/>
      <c r="G180" s="101"/>
    </row>
    <row r="181" spans="1:7" ht="99" customHeight="1" thickBot="1" x14ac:dyDescent="0.25">
      <c r="A181" s="27" t="s">
        <v>36</v>
      </c>
      <c r="B181" s="60" t="s">
        <v>54</v>
      </c>
      <c r="C181" s="43">
        <v>0.5</v>
      </c>
      <c r="D181" s="84" t="s">
        <v>587</v>
      </c>
      <c r="E181" s="85"/>
      <c r="F181" s="61"/>
      <c r="G181" s="101"/>
    </row>
    <row r="182" spans="1:7" ht="14.5" customHeight="1" x14ac:dyDescent="0.2">
      <c r="A182" s="76" t="s">
        <v>63</v>
      </c>
      <c r="B182" s="77"/>
      <c r="C182" s="21"/>
      <c r="D182" s="21"/>
      <c r="E182" s="22"/>
      <c r="F182" s="22"/>
      <c r="G182" s="101"/>
    </row>
    <row r="183" spans="1:7" ht="14.5" customHeight="1" x14ac:dyDescent="0.2">
      <c r="A183" s="78" t="s">
        <v>37</v>
      </c>
      <c r="B183" s="79"/>
      <c r="C183" s="35"/>
      <c r="D183" s="35"/>
      <c r="E183" s="26"/>
      <c r="F183" s="26"/>
      <c r="G183" s="101"/>
    </row>
    <row r="184" spans="1:7" ht="20" customHeight="1" x14ac:dyDescent="0.2">
      <c r="A184" s="39" t="s">
        <v>38</v>
      </c>
      <c r="B184" s="28" t="s">
        <v>430</v>
      </c>
      <c r="C184" s="45">
        <v>50</v>
      </c>
      <c r="D184" s="86" t="s">
        <v>543</v>
      </c>
      <c r="E184" s="87"/>
      <c r="F184" s="71"/>
      <c r="G184" s="101"/>
    </row>
    <row r="185" spans="1:7" ht="20" customHeight="1" x14ac:dyDescent="0.2">
      <c r="A185" s="39" t="s">
        <v>39</v>
      </c>
      <c r="B185" s="28" t="s">
        <v>431</v>
      </c>
      <c r="C185" s="45">
        <v>500</v>
      </c>
      <c r="D185" s="88"/>
      <c r="E185" s="89"/>
      <c r="F185" s="72"/>
      <c r="G185" s="101"/>
    </row>
    <row r="186" spans="1:7" ht="20" customHeight="1" x14ac:dyDescent="0.2">
      <c r="A186" s="39" t="s">
        <v>40</v>
      </c>
      <c r="B186" s="28" t="s">
        <v>432</v>
      </c>
      <c r="C186" s="45">
        <v>500</v>
      </c>
      <c r="D186" s="90"/>
      <c r="E186" s="91"/>
      <c r="F186" s="73"/>
      <c r="G186" s="103"/>
    </row>
  </sheetData>
  <mergeCells count="72">
    <mergeCell ref="G4:G186"/>
    <mergeCell ref="E6:E7"/>
    <mergeCell ref="F6:F7"/>
    <mergeCell ref="A14:B14"/>
    <mergeCell ref="D15:D24"/>
    <mergeCell ref="F26:F55"/>
    <mergeCell ref="A32:B32"/>
    <mergeCell ref="A39:B39"/>
    <mergeCell ref="E15:E16"/>
    <mergeCell ref="F15:F16"/>
    <mergeCell ref="E17:E18"/>
    <mergeCell ref="F17:F18"/>
    <mergeCell ref="A25:B25"/>
    <mergeCell ref="A101:B101"/>
    <mergeCell ref="A46:B46"/>
    <mergeCell ref="A53:B53"/>
    <mergeCell ref="D1:E1"/>
    <mergeCell ref="A2:B2"/>
    <mergeCell ref="A3:B3"/>
    <mergeCell ref="D4:D13"/>
    <mergeCell ref="F4:F5"/>
    <mergeCell ref="D26:D52"/>
    <mergeCell ref="E26:E52"/>
    <mergeCell ref="A79:B79"/>
    <mergeCell ref="A85:B85"/>
    <mergeCell ref="A88:B88"/>
    <mergeCell ref="E54:E55"/>
    <mergeCell ref="A56:B56"/>
    <mergeCell ref="A57:B57"/>
    <mergeCell ref="D58:E148"/>
    <mergeCell ref="A60:B60"/>
    <mergeCell ref="A63:B63"/>
    <mergeCell ref="A66:B66"/>
    <mergeCell ref="A73:B73"/>
    <mergeCell ref="A91:B91"/>
    <mergeCell ref="A94:B94"/>
    <mergeCell ref="D151:E151"/>
    <mergeCell ref="D152:E152"/>
    <mergeCell ref="A107:B107"/>
    <mergeCell ref="A113:B113"/>
    <mergeCell ref="A116:B116"/>
    <mergeCell ref="A123:B123"/>
    <mergeCell ref="A126:B126"/>
    <mergeCell ref="A133:B133"/>
    <mergeCell ref="A158:B158"/>
    <mergeCell ref="A139:B139"/>
    <mergeCell ref="A140:B140"/>
    <mergeCell ref="A149:B149"/>
    <mergeCell ref="A150:B150"/>
    <mergeCell ref="D173:E173"/>
    <mergeCell ref="D153:E153"/>
    <mergeCell ref="D154:E154"/>
    <mergeCell ref="D155:E155"/>
    <mergeCell ref="D156:E156"/>
    <mergeCell ref="D157:E157"/>
    <mergeCell ref="A159:B159"/>
    <mergeCell ref="D160:E169"/>
    <mergeCell ref="A170:B170"/>
    <mergeCell ref="D171:E171"/>
    <mergeCell ref="D172:E172"/>
    <mergeCell ref="F184:F186"/>
    <mergeCell ref="D174:E174"/>
    <mergeCell ref="D175:E175"/>
    <mergeCell ref="A176:B176"/>
    <mergeCell ref="A177:B177"/>
    <mergeCell ref="D178:E178"/>
    <mergeCell ref="A179:B179"/>
    <mergeCell ref="A180:B180"/>
    <mergeCell ref="D181:E181"/>
    <mergeCell ref="A182:B182"/>
    <mergeCell ref="A183:B183"/>
    <mergeCell ref="D184:E1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9"/>
  <sheetViews>
    <sheetView zoomScale="133" workbookViewId="0">
      <selection activeCell="A151" sqref="A151:B151"/>
    </sheetView>
  </sheetViews>
  <sheetFormatPr baseColWidth="10" defaultColWidth="8.83203125" defaultRowHeight="15" x14ac:dyDescent="0.2"/>
  <cols>
    <col min="1" max="1" width="36.83203125" style="2" bestFit="1" customWidth="1"/>
    <col min="2" max="2" width="114.83203125" style="2" customWidth="1"/>
  </cols>
  <sheetData>
    <row r="1" spans="1:2" ht="16" thickBot="1" x14ac:dyDescent="0.25"/>
    <row r="2" spans="1:2" ht="16" thickBot="1" x14ac:dyDescent="0.25">
      <c r="A2" s="3" t="s">
        <v>0</v>
      </c>
      <c r="B2" s="3" t="s">
        <v>1</v>
      </c>
    </row>
    <row r="3" spans="1:2" ht="20" customHeight="1" thickBot="1" x14ac:dyDescent="0.25">
      <c r="A3" s="67" t="s">
        <v>408</v>
      </c>
      <c r="B3" s="66"/>
    </row>
    <row r="4" spans="1:2" ht="20" customHeight="1" x14ac:dyDescent="0.2">
      <c r="A4" s="63" t="s">
        <v>606</v>
      </c>
      <c r="B4" s="64"/>
    </row>
    <row r="5" spans="1:2" ht="20" customHeight="1" x14ac:dyDescent="0.2">
      <c r="A5" s="7" t="s">
        <v>607</v>
      </c>
      <c r="B5" s="4" t="s">
        <v>544</v>
      </c>
    </row>
    <row r="6" spans="1:2" ht="20" customHeight="1" thickBot="1" x14ac:dyDescent="0.25">
      <c r="A6" s="7" t="s">
        <v>545</v>
      </c>
      <c r="B6" s="4" t="s">
        <v>546</v>
      </c>
    </row>
    <row r="7" spans="1:2" ht="20" customHeight="1" x14ac:dyDescent="0.2">
      <c r="A7" s="63" t="s">
        <v>608</v>
      </c>
      <c r="B7" s="64"/>
    </row>
    <row r="8" spans="1:2" ht="20" customHeight="1" x14ac:dyDescent="0.2">
      <c r="A8" s="7" t="s">
        <v>609</v>
      </c>
      <c r="B8" s="4" t="s">
        <v>547</v>
      </c>
    </row>
    <row r="9" spans="1:2" ht="20" customHeight="1" thickBot="1" x14ac:dyDescent="0.25">
      <c r="A9" s="7" t="s">
        <v>548</v>
      </c>
      <c r="B9" s="4" t="s">
        <v>549</v>
      </c>
    </row>
    <row r="10" spans="1:2" ht="20" customHeight="1" x14ac:dyDescent="0.2">
      <c r="A10" s="63" t="s">
        <v>610</v>
      </c>
      <c r="B10" s="64"/>
    </row>
    <row r="11" spans="1:2" ht="20" customHeight="1" x14ac:dyDescent="0.2">
      <c r="A11" s="1" t="s">
        <v>611</v>
      </c>
      <c r="B11" s="4" t="s">
        <v>550</v>
      </c>
    </row>
    <row r="12" spans="1:2" ht="20" customHeight="1" thickBot="1" x14ac:dyDescent="0.25">
      <c r="A12" s="1" t="s">
        <v>551</v>
      </c>
      <c r="B12" s="4" t="s">
        <v>552</v>
      </c>
    </row>
    <row r="13" spans="1:2" ht="20" customHeight="1" x14ac:dyDescent="0.2">
      <c r="A13" s="63" t="s">
        <v>612</v>
      </c>
      <c r="B13" s="64"/>
    </row>
    <row r="14" spans="1:2" ht="20" customHeight="1" x14ac:dyDescent="0.2">
      <c r="A14" s="1" t="s">
        <v>613</v>
      </c>
      <c r="B14" s="4" t="s">
        <v>553</v>
      </c>
    </row>
    <row r="15" spans="1:2" ht="20" customHeight="1" thickBot="1" x14ac:dyDescent="0.25">
      <c r="A15" s="1" t="s">
        <v>614</v>
      </c>
      <c r="B15" s="4" t="s">
        <v>554</v>
      </c>
    </row>
    <row r="16" spans="1:2" ht="20" customHeight="1" x14ac:dyDescent="0.2">
      <c r="A16" s="63" t="s">
        <v>615</v>
      </c>
      <c r="B16" s="64"/>
    </row>
    <row r="17" spans="1:2" ht="20" customHeight="1" x14ac:dyDescent="0.2">
      <c r="A17" s="7" t="s">
        <v>616</v>
      </c>
      <c r="B17" s="4" t="s">
        <v>617</v>
      </c>
    </row>
    <row r="18" spans="1:2" ht="20" customHeight="1" thickBot="1" x14ac:dyDescent="0.25">
      <c r="A18" s="7" t="s">
        <v>41</v>
      </c>
      <c r="B18" s="4" t="s">
        <v>617</v>
      </c>
    </row>
    <row r="19" spans="1:2" ht="20" customHeight="1" x14ac:dyDescent="0.2">
      <c r="A19" s="63" t="s">
        <v>618</v>
      </c>
      <c r="B19" s="64"/>
    </row>
    <row r="20" spans="1:2" ht="20" customHeight="1" x14ac:dyDescent="0.2">
      <c r="A20" s="11" t="s">
        <v>619</v>
      </c>
      <c r="B20" s="4" t="s">
        <v>620</v>
      </c>
    </row>
    <row r="21" spans="1:2" ht="20" customHeight="1" thickBot="1" x14ac:dyDescent="0.25">
      <c r="A21" s="12" t="s">
        <v>621</v>
      </c>
      <c r="B21" s="4" t="s">
        <v>205</v>
      </c>
    </row>
    <row r="22" spans="1:2" ht="20" customHeight="1" x14ac:dyDescent="0.2">
      <c r="A22" s="63" t="s">
        <v>622</v>
      </c>
      <c r="B22" s="64"/>
    </row>
    <row r="23" spans="1:2" ht="20" customHeight="1" x14ac:dyDescent="0.2">
      <c r="A23" s="7" t="s">
        <v>623</v>
      </c>
      <c r="B23" s="4" t="s">
        <v>624</v>
      </c>
    </row>
    <row r="24" spans="1:2" ht="20" customHeight="1" thickBot="1" x14ac:dyDescent="0.25">
      <c r="A24" s="7" t="s">
        <v>42</v>
      </c>
      <c r="B24" s="4" t="s">
        <v>624</v>
      </c>
    </row>
    <row r="25" spans="1:2" ht="20" customHeight="1" x14ac:dyDescent="0.2">
      <c r="A25" s="63" t="s">
        <v>625</v>
      </c>
      <c r="B25" s="64"/>
    </row>
    <row r="26" spans="1:2" ht="20" customHeight="1" x14ac:dyDescent="0.2">
      <c r="A26" s="7" t="s">
        <v>626</v>
      </c>
      <c r="B26" s="4" t="s">
        <v>627</v>
      </c>
    </row>
    <row r="27" spans="1:2" ht="20" customHeight="1" thickBot="1" x14ac:dyDescent="0.25">
      <c r="A27" s="7" t="s">
        <v>628</v>
      </c>
      <c r="B27" s="4" t="s">
        <v>629</v>
      </c>
    </row>
    <row r="28" spans="1:2" ht="20" customHeight="1" x14ac:dyDescent="0.2">
      <c r="A28" s="63" t="s">
        <v>630</v>
      </c>
      <c r="B28" s="64"/>
    </row>
    <row r="29" spans="1:2" ht="20" customHeight="1" x14ac:dyDescent="0.2">
      <c r="A29" s="7" t="s">
        <v>631</v>
      </c>
      <c r="B29" s="4" t="s">
        <v>632</v>
      </c>
    </row>
    <row r="30" spans="1:2" ht="20" customHeight="1" thickBot="1" x14ac:dyDescent="0.25">
      <c r="A30" s="7" t="s">
        <v>633</v>
      </c>
      <c r="B30" s="4" t="s">
        <v>632</v>
      </c>
    </row>
    <row r="31" spans="1:2" ht="20" customHeight="1" x14ac:dyDescent="0.2">
      <c r="A31" s="63" t="s">
        <v>625</v>
      </c>
      <c r="B31" s="64"/>
    </row>
    <row r="32" spans="1:2" ht="20" customHeight="1" x14ac:dyDescent="0.2">
      <c r="A32" s="7" t="s">
        <v>634</v>
      </c>
      <c r="B32" s="4" t="s">
        <v>635</v>
      </c>
    </row>
    <row r="33" spans="1:2" ht="20" customHeight="1" thickBot="1" x14ac:dyDescent="0.25">
      <c r="A33" s="7" t="s">
        <v>636</v>
      </c>
      <c r="B33" s="4" t="s">
        <v>637</v>
      </c>
    </row>
    <row r="34" spans="1:2" ht="20" customHeight="1" x14ac:dyDescent="0.2">
      <c r="A34" s="63" t="s">
        <v>638</v>
      </c>
      <c r="B34" s="64"/>
    </row>
    <row r="35" spans="1:2" ht="20" customHeight="1" x14ac:dyDescent="0.2">
      <c r="A35" s="7" t="s">
        <v>639</v>
      </c>
      <c r="B35" s="4" t="s">
        <v>206</v>
      </c>
    </row>
    <row r="36" spans="1:2" ht="20" customHeight="1" thickBot="1" x14ac:dyDescent="0.25">
      <c r="A36" s="7" t="s">
        <v>640</v>
      </c>
      <c r="B36" s="4" t="s">
        <v>206</v>
      </c>
    </row>
    <row r="37" spans="1:2" ht="20" customHeight="1" x14ac:dyDescent="0.2">
      <c r="A37" s="63" t="s">
        <v>625</v>
      </c>
      <c r="B37" s="64"/>
    </row>
    <row r="38" spans="1:2" ht="20" customHeight="1" x14ac:dyDescent="0.2">
      <c r="A38" s="7" t="s">
        <v>641</v>
      </c>
      <c r="B38" s="4" t="s">
        <v>207</v>
      </c>
    </row>
    <row r="39" spans="1:2" ht="20" customHeight="1" thickBot="1" x14ac:dyDescent="0.25">
      <c r="A39" s="7" t="s">
        <v>642</v>
      </c>
      <c r="B39" s="4" t="s">
        <v>208</v>
      </c>
    </row>
    <row r="40" spans="1:2" ht="20" customHeight="1" thickBot="1" x14ac:dyDescent="0.25">
      <c r="A40" s="67" t="s">
        <v>82</v>
      </c>
      <c r="B40" s="66"/>
    </row>
    <row r="41" spans="1:2" ht="20" customHeight="1" x14ac:dyDescent="0.2">
      <c r="A41" s="63" t="s">
        <v>227</v>
      </c>
      <c r="B41" s="64"/>
    </row>
    <row r="42" spans="1:2" ht="20" customHeight="1" x14ac:dyDescent="0.2">
      <c r="A42" s="7" t="s">
        <v>209</v>
      </c>
      <c r="B42" s="4" t="s">
        <v>213</v>
      </c>
    </row>
    <row r="43" spans="1:2" ht="20" customHeight="1" x14ac:dyDescent="0.2">
      <c r="A43" s="7" t="s">
        <v>210</v>
      </c>
      <c r="B43" s="4" t="s">
        <v>214</v>
      </c>
    </row>
    <row r="44" spans="1:2" ht="20" customHeight="1" x14ac:dyDescent="0.2">
      <c r="A44" s="7" t="s">
        <v>211</v>
      </c>
      <c r="B44" s="4" t="s">
        <v>215</v>
      </c>
    </row>
    <row r="45" spans="1:2" ht="20" customHeight="1" x14ac:dyDescent="0.2">
      <c r="A45" s="7" t="s">
        <v>212</v>
      </c>
      <c r="B45" s="5" t="s">
        <v>216</v>
      </c>
    </row>
    <row r="46" spans="1:2" ht="20" customHeight="1" x14ac:dyDescent="0.2">
      <c r="A46" s="6"/>
      <c r="B46" s="4"/>
    </row>
    <row r="47" spans="1:2" ht="20" customHeight="1" x14ac:dyDescent="0.2">
      <c r="A47" s="7" t="s">
        <v>217</v>
      </c>
      <c r="B47" s="4" t="s">
        <v>222</v>
      </c>
    </row>
    <row r="48" spans="1:2" ht="20" customHeight="1" x14ac:dyDescent="0.2">
      <c r="A48" s="7" t="s">
        <v>218</v>
      </c>
      <c r="B48" s="4" t="s">
        <v>223</v>
      </c>
    </row>
    <row r="49" spans="1:2" ht="20" customHeight="1" x14ac:dyDescent="0.2">
      <c r="A49" s="7" t="s">
        <v>219</v>
      </c>
      <c r="B49" s="4" t="s">
        <v>224</v>
      </c>
    </row>
    <row r="50" spans="1:2" ht="20" customHeight="1" x14ac:dyDescent="0.2">
      <c r="A50" s="7" t="s">
        <v>220</v>
      </c>
      <c r="B50" s="5" t="s">
        <v>225</v>
      </c>
    </row>
    <row r="51" spans="1:2" ht="20" customHeight="1" thickBot="1" x14ac:dyDescent="0.25">
      <c r="A51" s="7" t="s">
        <v>221</v>
      </c>
      <c r="B51" s="5" t="s">
        <v>226</v>
      </c>
    </row>
    <row r="52" spans="1:2" ht="20" customHeight="1" x14ac:dyDescent="0.2">
      <c r="A52" s="63" t="s">
        <v>228</v>
      </c>
      <c r="B52" s="64"/>
    </row>
    <row r="53" spans="1:2" ht="20" customHeight="1" x14ac:dyDescent="0.2">
      <c r="A53" s="7" t="s">
        <v>229</v>
      </c>
      <c r="B53" s="4" t="s">
        <v>233</v>
      </c>
    </row>
    <row r="54" spans="1:2" ht="20" customHeight="1" x14ac:dyDescent="0.2">
      <c r="A54" s="7" t="s">
        <v>230</v>
      </c>
      <c r="B54" s="4" t="s">
        <v>234</v>
      </c>
    </row>
    <row r="55" spans="1:2" ht="20" customHeight="1" x14ac:dyDescent="0.2">
      <c r="A55" s="7" t="s">
        <v>231</v>
      </c>
      <c r="B55" s="4" t="s">
        <v>235</v>
      </c>
    </row>
    <row r="56" spans="1:2" ht="20" customHeight="1" x14ac:dyDescent="0.2">
      <c r="A56" s="7" t="s">
        <v>232</v>
      </c>
      <c r="B56" s="5" t="s">
        <v>236</v>
      </c>
    </row>
    <row r="57" spans="1:2" ht="20" customHeight="1" x14ac:dyDescent="0.2">
      <c r="A57" s="6"/>
      <c r="B57" s="4"/>
    </row>
    <row r="58" spans="1:2" ht="20" customHeight="1" x14ac:dyDescent="0.2">
      <c r="A58" s="7" t="s">
        <v>237</v>
      </c>
      <c r="B58" s="4" t="s">
        <v>242</v>
      </c>
    </row>
    <row r="59" spans="1:2" ht="20" customHeight="1" x14ac:dyDescent="0.2">
      <c r="A59" s="7" t="s">
        <v>238</v>
      </c>
      <c r="B59" s="4" t="s">
        <v>243</v>
      </c>
    </row>
    <row r="60" spans="1:2" ht="20" customHeight="1" x14ac:dyDescent="0.2">
      <c r="A60" s="7" t="s">
        <v>239</v>
      </c>
      <c r="B60" s="4" t="s">
        <v>244</v>
      </c>
    </row>
    <row r="61" spans="1:2" ht="20" customHeight="1" x14ac:dyDescent="0.2">
      <c r="A61" s="7" t="s">
        <v>240</v>
      </c>
      <c r="B61" s="5" t="s">
        <v>245</v>
      </c>
    </row>
    <row r="62" spans="1:2" ht="20" customHeight="1" thickBot="1" x14ac:dyDescent="0.25">
      <c r="A62" s="7" t="s">
        <v>241</v>
      </c>
      <c r="B62" s="5" t="s">
        <v>246</v>
      </c>
    </row>
    <row r="63" spans="1:2" ht="20" customHeight="1" x14ac:dyDescent="0.2">
      <c r="A63" s="63" t="s">
        <v>247</v>
      </c>
      <c r="B63" s="64"/>
    </row>
    <row r="64" spans="1:2" ht="20" customHeight="1" x14ac:dyDescent="0.2">
      <c r="A64" s="7" t="s">
        <v>377</v>
      </c>
      <c r="B64" s="4" t="s">
        <v>248</v>
      </c>
    </row>
    <row r="65" spans="1:2" ht="20" customHeight="1" x14ac:dyDescent="0.2">
      <c r="A65" s="7" t="s">
        <v>378</v>
      </c>
      <c r="B65" s="4" t="s">
        <v>249</v>
      </c>
    </row>
    <row r="66" spans="1:2" ht="20" customHeight="1" x14ac:dyDescent="0.2">
      <c r="A66" s="7" t="s">
        <v>379</v>
      </c>
      <c r="B66" s="4" t="s">
        <v>250</v>
      </c>
    </row>
    <row r="67" spans="1:2" ht="20" customHeight="1" x14ac:dyDescent="0.2">
      <c r="A67" s="7" t="s">
        <v>380</v>
      </c>
      <c r="B67" s="5" t="s">
        <v>251</v>
      </c>
    </row>
    <row r="68" spans="1:2" ht="20" customHeight="1" x14ac:dyDescent="0.2">
      <c r="A68" s="6"/>
      <c r="B68" s="4"/>
    </row>
    <row r="69" spans="1:2" ht="20" customHeight="1" x14ac:dyDescent="0.2">
      <c r="A69" s="7" t="s">
        <v>381</v>
      </c>
      <c r="B69" s="4" t="s">
        <v>252</v>
      </c>
    </row>
    <row r="70" spans="1:2" ht="20" customHeight="1" x14ac:dyDescent="0.2">
      <c r="A70" s="7" t="s">
        <v>382</v>
      </c>
      <c r="B70" s="4" t="s">
        <v>253</v>
      </c>
    </row>
    <row r="71" spans="1:2" ht="20" customHeight="1" x14ac:dyDescent="0.2">
      <c r="A71" s="7" t="s">
        <v>383</v>
      </c>
      <c r="B71" s="4" t="s">
        <v>254</v>
      </c>
    </row>
    <row r="72" spans="1:2" ht="20" customHeight="1" x14ac:dyDescent="0.2">
      <c r="A72" s="7" t="s">
        <v>384</v>
      </c>
      <c r="B72" s="5" t="s">
        <v>255</v>
      </c>
    </row>
    <row r="73" spans="1:2" ht="20" customHeight="1" thickBot="1" x14ac:dyDescent="0.25">
      <c r="A73" s="7" t="s">
        <v>385</v>
      </c>
      <c r="B73" s="5" t="s">
        <v>256</v>
      </c>
    </row>
    <row r="74" spans="1:2" ht="20" customHeight="1" x14ac:dyDescent="0.2">
      <c r="A74" s="63" t="s">
        <v>257</v>
      </c>
      <c r="B74" s="64"/>
    </row>
    <row r="75" spans="1:2" ht="20" customHeight="1" x14ac:dyDescent="0.2">
      <c r="A75" s="7" t="s">
        <v>258</v>
      </c>
      <c r="B75" s="4" t="s">
        <v>262</v>
      </c>
    </row>
    <row r="76" spans="1:2" ht="20" customHeight="1" x14ac:dyDescent="0.2">
      <c r="A76" s="7" t="s">
        <v>259</v>
      </c>
      <c r="B76" s="4" t="s">
        <v>263</v>
      </c>
    </row>
    <row r="77" spans="1:2" ht="20" customHeight="1" x14ac:dyDescent="0.2">
      <c r="A77" s="7" t="s">
        <v>260</v>
      </c>
      <c r="B77" s="4" t="s">
        <v>264</v>
      </c>
    </row>
    <row r="78" spans="1:2" ht="20" customHeight="1" x14ac:dyDescent="0.2">
      <c r="A78" s="7" t="s">
        <v>261</v>
      </c>
      <c r="B78" s="5" t="s">
        <v>265</v>
      </c>
    </row>
    <row r="79" spans="1:2" ht="20" customHeight="1" x14ac:dyDescent="0.2">
      <c r="A79" s="6"/>
      <c r="B79" s="4"/>
    </row>
    <row r="80" spans="1:2" ht="20" customHeight="1" x14ac:dyDescent="0.2">
      <c r="A80" s="7" t="s">
        <v>266</v>
      </c>
      <c r="B80" s="4" t="s">
        <v>271</v>
      </c>
    </row>
    <row r="81" spans="1:2" ht="20" customHeight="1" x14ac:dyDescent="0.2">
      <c r="A81" s="7" t="s">
        <v>267</v>
      </c>
      <c r="B81" s="4" t="s">
        <v>272</v>
      </c>
    </row>
    <row r="82" spans="1:2" ht="20" customHeight="1" x14ac:dyDescent="0.2">
      <c r="A82" s="7" t="s">
        <v>268</v>
      </c>
      <c r="B82" s="4" t="s">
        <v>273</v>
      </c>
    </row>
    <row r="83" spans="1:2" ht="20" customHeight="1" x14ac:dyDescent="0.2">
      <c r="A83" s="7" t="s">
        <v>269</v>
      </c>
      <c r="B83" s="5" t="s">
        <v>274</v>
      </c>
    </row>
    <row r="84" spans="1:2" ht="20" customHeight="1" thickBot="1" x14ac:dyDescent="0.25">
      <c r="A84" s="7" t="s">
        <v>270</v>
      </c>
      <c r="B84" s="5" t="s">
        <v>275</v>
      </c>
    </row>
    <row r="85" spans="1:2" ht="20" customHeight="1" x14ac:dyDescent="0.2">
      <c r="A85" s="63" t="s">
        <v>280</v>
      </c>
      <c r="B85" s="64"/>
    </row>
    <row r="86" spans="1:2" ht="20" customHeight="1" x14ac:dyDescent="0.2">
      <c r="A86" s="7" t="s">
        <v>276</v>
      </c>
      <c r="B86" s="4" t="s">
        <v>281</v>
      </c>
    </row>
    <row r="87" spans="1:2" ht="20" customHeight="1" x14ac:dyDescent="0.2">
      <c r="A87" s="7" t="s">
        <v>277</v>
      </c>
      <c r="B87" s="4" t="s">
        <v>282</v>
      </c>
    </row>
    <row r="88" spans="1:2" ht="20" customHeight="1" x14ac:dyDescent="0.2">
      <c r="A88" s="7" t="s">
        <v>278</v>
      </c>
      <c r="B88" s="4" t="s">
        <v>283</v>
      </c>
    </row>
    <row r="89" spans="1:2" ht="20" customHeight="1" x14ac:dyDescent="0.2">
      <c r="A89" s="7" t="s">
        <v>279</v>
      </c>
      <c r="B89" s="5" t="s">
        <v>284</v>
      </c>
    </row>
    <row r="90" spans="1:2" ht="20" customHeight="1" x14ac:dyDescent="0.2">
      <c r="A90" s="6"/>
      <c r="B90" s="4"/>
    </row>
    <row r="91" spans="1:2" ht="20" customHeight="1" x14ac:dyDescent="0.2">
      <c r="A91" s="7" t="s">
        <v>300</v>
      </c>
      <c r="B91" s="4" t="s">
        <v>285</v>
      </c>
    </row>
    <row r="92" spans="1:2" ht="20" customHeight="1" x14ac:dyDescent="0.2">
      <c r="A92" s="7" t="s">
        <v>301</v>
      </c>
      <c r="B92" s="4" t="s">
        <v>286</v>
      </c>
    </row>
    <row r="93" spans="1:2" ht="20" customHeight="1" x14ac:dyDescent="0.2">
      <c r="A93" s="7" t="s">
        <v>302</v>
      </c>
      <c r="B93" s="4" t="s">
        <v>287</v>
      </c>
    </row>
    <row r="94" spans="1:2" ht="20" customHeight="1" x14ac:dyDescent="0.2">
      <c r="A94" s="7" t="s">
        <v>303</v>
      </c>
      <c r="B94" s="5" t="s">
        <v>288</v>
      </c>
    </row>
    <row r="95" spans="1:2" ht="20" customHeight="1" thickBot="1" x14ac:dyDescent="0.25">
      <c r="A95" s="7" t="s">
        <v>304</v>
      </c>
      <c r="B95" s="5" t="s">
        <v>289</v>
      </c>
    </row>
    <row r="96" spans="1:2" ht="20" customHeight="1" x14ac:dyDescent="0.2">
      <c r="A96" s="63" t="s">
        <v>290</v>
      </c>
      <c r="B96" s="64"/>
    </row>
    <row r="97" spans="1:2" ht="20" customHeight="1" x14ac:dyDescent="0.2">
      <c r="A97" s="7" t="s">
        <v>386</v>
      </c>
      <c r="B97" s="4" t="s">
        <v>291</v>
      </c>
    </row>
    <row r="98" spans="1:2" ht="20" customHeight="1" x14ac:dyDescent="0.2">
      <c r="A98" s="7" t="s">
        <v>387</v>
      </c>
      <c r="B98" s="4" t="s">
        <v>292</v>
      </c>
    </row>
    <row r="99" spans="1:2" ht="20" customHeight="1" x14ac:dyDescent="0.2">
      <c r="A99" s="7" t="s">
        <v>390</v>
      </c>
      <c r="B99" s="4" t="s">
        <v>293</v>
      </c>
    </row>
    <row r="100" spans="1:2" ht="20" customHeight="1" x14ac:dyDescent="0.2">
      <c r="A100" s="7" t="s">
        <v>388</v>
      </c>
      <c r="B100" s="5" t="s">
        <v>294</v>
      </c>
    </row>
    <row r="101" spans="1:2" ht="20" customHeight="1" x14ac:dyDescent="0.2">
      <c r="A101" s="6"/>
      <c r="B101" s="4"/>
    </row>
    <row r="102" spans="1:2" ht="20" customHeight="1" x14ac:dyDescent="0.2">
      <c r="A102" s="7" t="s">
        <v>389</v>
      </c>
      <c r="B102" s="4" t="s">
        <v>295</v>
      </c>
    </row>
    <row r="103" spans="1:2" ht="20" customHeight="1" x14ac:dyDescent="0.2">
      <c r="A103" s="7" t="s">
        <v>391</v>
      </c>
      <c r="B103" s="4" t="s">
        <v>296</v>
      </c>
    </row>
    <row r="104" spans="1:2" ht="20" customHeight="1" x14ac:dyDescent="0.2">
      <c r="A104" s="7" t="s">
        <v>392</v>
      </c>
      <c r="B104" s="4" t="s">
        <v>297</v>
      </c>
    </row>
    <row r="105" spans="1:2" ht="20" customHeight="1" x14ac:dyDescent="0.2">
      <c r="A105" s="7" t="s">
        <v>393</v>
      </c>
      <c r="B105" s="5" t="s">
        <v>298</v>
      </c>
    </row>
    <row r="106" spans="1:2" ht="20" customHeight="1" thickBot="1" x14ac:dyDescent="0.25">
      <c r="A106" s="7" t="s">
        <v>394</v>
      </c>
      <c r="B106" s="5" t="s">
        <v>299</v>
      </c>
    </row>
    <row r="107" spans="1:2" ht="20" customHeight="1" x14ac:dyDescent="0.2">
      <c r="A107" s="63" t="s">
        <v>643</v>
      </c>
      <c r="B107" s="64"/>
    </row>
    <row r="108" spans="1:2" ht="20" customHeight="1" x14ac:dyDescent="0.2">
      <c r="A108" s="7" t="s">
        <v>305</v>
      </c>
      <c r="B108" s="4" t="s">
        <v>329</v>
      </c>
    </row>
    <row r="109" spans="1:2" ht="20" customHeight="1" x14ac:dyDescent="0.2">
      <c r="A109" s="7" t="s">
        <v>306</v>
      </c>
      <c r="B109" s="4" t="s">
        <v>330</v>
      </c>
    </row>
    <row r="110" spans="1:2" ht="20" customHeight="1" x14ac:dyDescent="0.2">
      <c r="A110" s="7" t="s">
        <v>307</v>
      </c>
      <c r="B110" s="4" t="s">
        <v>331</v>
      </c>
    </row>
    <row r="111" spans="1:2" ht="20" customHeight="1" x14ac:dyDescent="0.2">
      <c r="A111" s="7" t="s">
        <v>308</v>
      </c>
      <c r="B111" s="4" t="s">
        <v>332</v>
      </c>
    </row>
    <row r="112" spans="1:2" ht="20" customHeight="1" x14ac:dyDescent="0.2">
      <c r="A112" s="7" t="s">
        <v>395</v>
      </c>
      <c r="B112" s="4" t="s">
        <v>333</v>
      </c>
    </row>
    <row r="113" spans="1:2" ht="20" customHeight="1" x14ac:dyDescent="0.2">
      <c r="A113" s="7" t="s">
        <v>396</v>
      </c>
      <c r="B113" s="4" t="s">
        <v>334</v>
      </c>
    </row>
    <row r="114" spans="1:2" ht="20" customHeight="1" x14ac:dyDescent="0.2">
      <c r="A114" s="7" t="s">
        <v>309</v>
      </c>
      <c r="B114" s="4" t="s">
        <v>345</v>
      </c>
    </row>
    <row r="115" spans="1:2" ht="20" customHeight="1" x14ac:dyDescent="0.2">
      <c r="A115" s="7" t="s">
        <v>310</v>
      </c>
      <c r="B115" s="4" t="s">
        <v>335</v>
      </c>
    </row>
    <row r="116" spans="1:2" ht="20" customHeight="1" x14ac:dyDescent="0.2">
      <c r="A116" s="7" t="s">
        <v>311</v>
      </c>
      <c r="B116" s="4" t="s">
        <v>336</v>
      </c>
    </row>
    <row r="117" spans="1:2" ht="20" customHeight="1" x14ac:dyDescent="0.2">
      <c r="A117" s="7" t="s">
        <v>312</v>
      </c>
      <c r="B117" s="4" t="s">
        <v>337</v>
      </c>
    </row>
    <row r="118" spans="1:2" ht="20" customHeight="1" x14ac:dyDescent="0.2">
      <c r="A118" s="7" t="s">
        <v>397</v>
      </c>
      <c r="B118" s="4" t="s">
        <v>338</v>
      </c>
    </row>
    <row r="119" spans="1:2" ht="20" customHeight="1" x14ac:dyDescent="0.2">
      <c r="A119" s="7" t="s">
        <v>398</v>
      </c>
      <c r="B119" s="4" t="s">
        <v>339</v>
      </c>
    </row>
    <row r="120" spans="1:2" ht="20" customHeight="1" x14ac:dyDescent="0.2">
      <c r="A120" s="7" t="s">
        <v>313</v>
      </c>
      <c r="B120" s="4" t="s">
        <v>346</v>
      </c>
    </row>
    <row r="121" spans="1:2" ht="20" customHeight="1" x14ac:dyDescent="0.2">
      <c r="A121" s="7" t="s">
        <v>314</v>
      </c>
      <c r="B121" s="4" t="s">
        <v>340</v>
      </c>
    </row>
    <row r="122" spans="1:2" ht="20" customHeight="1" x14ac:dyDescent="0.2">
      <c r="A122" s="7" t="s">
        <v>315</v>
      </c>
      <c r="B122" s="4" t="s">
        <v>341</v>
      </c>
    </row>
    <row r="123" spans="1:2" ht="20" customHeight="1" x14ac:dyDescent="0.2">
      <c r="A123" s="7" t="s">
        <v>316</v>
      </c>
      <c r="B123" s="4" t="s">
        <v>342</v>
      </c>
    </row>
    <row r="124" spans="1:2" ht="20" customHeight="1" x14ac:dyDescent="0.2">
      <c r="A124" s="7" t="s">
        <v>399</v>
      </c>
      <c r="B124" s="4" t="s">
        <v>343</v>
      </c>
    </row>
    <row r="125" spans="1:2" ht="20" customHeight="1" x14ac:dyDescent="0.2">
      <c r="A125" s="7" t="s">
        <v>400</v>
      </c>
      <c r="B125" s="4" t="s">
        <v>344</v>
      </c>
    </row>
    <row r="126" spans="1:2" ht="20" customHeight="1" x14ac:dyDescent="0.2">
      <c r="A126" s="7" t="s">
        <v>317</v>
      </c>
      <c r="B126" s="4" t="s">
        <v>347</v>
      </c>
    </row>
    <row r="127" spans="1:2" ht="20" customHeight="1" x14ac:dyDescent="0.2">
      <c r="A127" s="7" t="s">
        <v>318</v>
      </c>
      <c r="B127" s="4" t="s">
        <v>348</v>
      </c>
    </row>
    <row r="128" spans="1:2" ht="20" customHeight="1" x14ac:dyDescent="0.2">
      <c r="A128" s="7" t="s">
        <v>319</v>
      </c>
      <c r="B128" s="4" t="s">
        <v>349</v>
      </c>
    </row>
    <row r="129" spans="1:2" ht="20" customHeight="1" x14ac:dyDescent="0.2">
      <c r="A129" s="7" t="s">
        <v>320</v>
      </c>
      <c r="B129" s="4" t="s">
        <v>350</v>
      </c>
    </row>
    <row r="130" spans="1:2" ht="20" customHeight="1" x14ac:dyDescent="0.2">
      <c r="A130" s="7" t="s">
        <v>401</v>
      </c>
      <c r="B130" s="4" t="s">
        <v>351</v>
      </c>
    </row>
    <row r="131" spans="1:2" ht="20" customHeight="1" x14ac:dyDescent="0.2">
      <c r="A131" s="7" t="s">
        <v>402</v>
      </c>
      <c r="B131" s="4" t="s">
        <v>352</v>
      </c>
    </row>
    <row r="132" spans="1:2" ht="20" customHeight="1" x14ac:dyDescent="0.2">
      <c r="A132" s="7" t="s">
        <v>321</v>
      </c>
      <c r="B132" s="4" t="s">
        <v>353</v>
      </c>
    </row>
    <row r="133" spans="1:2" ht="20" customHeight="1" x14ac:dyDescent="0.2">
      <c r="A133" s="7" t="s">
        <v>322</v>
      </c>
      <c r="B133" s="4" t="s">
        <v>354</v>
      </c>
    </row>
    <row r="134" spans="1:2" ht="20" customHeight="1" x14ac:dyDescent="0.2">
      <c r="A134" s="7" t="s">
        <v>323</v>
      </c>
      <c r="B134" s="4" t="s">
        <v>355</v>
      </c>
    </row>
    <row r="135" spans="1:2" ht="20" customHeight="1" x14ac:dyDescent="0.2">
      <c r="A135" s="7" t="s">
        <v>324</v>
      </c>
      <c r="B135" s="4" t="s">
        <v>356</v>
      </c>
    </row>
    <row r="136" spans="1:2" ht="20" customHeight="1" x14ac:dyDescent="0.2">
      <c r="A136" s="7" t="s">
        <v>403</v>
      </c>
      <c r="B136" s="4" t="s">
        <v>357</v>
      </c>
    </row>
    <row r="137" spans="1:2" ht="20" customHeight="1" x14ac:dyDescent="0.2">
      <c r="A137" s="7" t="s">
        <v>404</v>
      </c>
      <c r="B137" s="4" t="s">
        <v>358</v>
      </c>
    </row>
    <row r="138" spans="1:2" ht="20" customHeight="1" x14ac:dyDescent="0.2">
      <c r="A138" s="7" t="s">
        <v>325</v>
      </c>
      <c r="B138" s="4" t="s">
        <v>87</v>
      </c>
    </row>
    <row r="139" spans="1:2" ht="20" customHeight="1" x14ac:dyDescent="0.2">
      <c r="A139" s="7" t="s">
        <v>326</v>
      </c>
      <c r="B139" s="4" t="s">
        <v>88</v>
      </c>
    </row>
    <row r="140" spans="1:2" ht="20" customHeight="1" x14ac:dyDescent="0.2">
      <c r="A140" s="7" t="s">
        <v>327</v>
      </c>
      <c r="B140" s="4" t="s">
        <v>85</v>
      </c>
    </row>
    <row r="141" spans="1:2" ht="20" customHeight="1" thickBot="1" x14ac:dyDescent="0.25">
      <c r="A141" s="7" t="s">
        <v>328</v>
      </c>
      <c r="B141" s="4" t="s">
        <v>86</v>
      </c>
    </row>
    <row r="142" spans="1:2" ht="20" customHeight="1" x14ac:dyDescent="0.2">
      <c r="A142" s="67" t="s">
        <v>644</v>
      </c>
      <c r="B142" s="66"/>
    </row>
    <row r="143" spans="1:2" ht="20" customHeight="1" x14ac:dyDescent="0.2">
      <c r="A143" s="1" t="s">
        <v>104</v>
      </c>
      <c r="B143" s="4" t="s">
        <v>106</v>
      </c>
    </row>
    <row r="144" spans="1:2" ht="20" customHeight="1" x14ac:dyDescent="0.2">
      <c r="A144" s="1" t="s">
        <v>105</v>
      </c>
      <c r="B144" s="4" t="s">
        <v>107</v>
      </c>
    </row>
    <row r="145" spans="1:2" ht="20" customHeight="1" x14ac:dyDescent="0.2">
      <c r="A145" s="1" t="s">
        <v>108</v>
      </c>
      <c r="B145" s="4" t="s">
        <v>109</v>
      </c>
    </row>
    <row r="146" spans="1:2" ht="20" customHeight="1" x14ac:dyDescent="0.2">
      <c r="A146" s="1" t="s">
        <v>645</v>
      </c>
      <c r="B146" s="4" t="s">
        <v>110</v>
      </c>
    </row>
    <row r="147" spans="1:2" ht="20" customHeight="1" x14ac:dyDescent="0.2">
      <c r="A147" s="1" t="s">
        <v>104</v>
      </c>
      <c r="B147" s="4" t="s">
        <v>111</v>
      </c>
    </row>
    <row r="148" spans="1:2" ht="20" customHeight="1" x14ac:dyDescent="0.2">
      <c r="A148" s="1" t="s">
        <v>105</v>
      </c>
      <c r="B148" s="4" t="s">
        <v>112</v>
      </c>
    </row>
    <row r="149" spans="1:2" ht="20" customHeight="1" x14ac:dyDescent="0.2">
      <c r="A149" s="1" t="s">
        <v>108</v>
      </c>
      <c r="B149" s="4" t="s">
        <v>113</v>
      </c>
    </row>
    <row r="150" spans="1:2" ht="20" customHeight="1" thickBot="1" x14ac:dyDescent="0.25">
      <c r="A150" s="1" t="s">
        <v>645</v>
      </c>
      <c r="B150" s="4" t="s">
        <v>114</v>
      </c>
    </row>
    <row r="151" spans="1:2" ht="20" customHeight="1" x14ac:dyDescent="0.2">
      <c r="A151" s="67" t="s">
        <v>646</v>
      </c>
      <c r="B151" s="66"/>
    </row>
    <row r="152" spans="1:2" ht="20" customHeight="1" x14ac:dyDescent="0.2">
      <c r="A152" s="7" t="s">
        <v>555</v>
      </c>
      <c r="B152" s="4" t="s">
        <v>556</v>
      </c>
    </row>
    <row r="153" spans="1:2" ht="20" customHeight="1" x14ac:dyDescent="0.2">
      <c r="A153" s="7" t="s">
        <v>75</v>
      </c>
      <c r="B153" s="4" t="s">
        <v>359</v>
      </c>
    </row>
    <row r="154" spans="1:2" ht="20" customHeight="1" x14ac:dyDescent="0.2">
      <c r="A154" s="7" t="s">
        <v>76</v>
      </c>
      <c r="B154" s="4" t="s">
        <v>360</v>
      </c>
    </row>
    <row r="155" spans="1:2" ht="20" customHeight="1" x14ac:dyDescent="0.2">
      <c r="A155" s="7" t="s">
        <v>77</v>
      </c>
      <c r="B155" s="4" t="s">
        <v>361</v>
      </c>
    </row>
    <row r="156" spans="1:2" ht="20" customHeight="1" x14ac:dyDescent="0.2">
      <c r="A156" s="7" t="s">
        <v>557</v>
      </c>
      <c r="B156" s="4" t="s">
        <v>558</v>
      </c>
    </row>
    <row r="157" spans="1:2" ht="20" customHeight="1" x14ac:dyDescent="0.2">
      <c r="A157" s="7" t="s">
        <v>78</v>
      </c>
      <c r="B157" s="4" t="s">
        <v>647</v>
      </c>
    </row>
    <row r="158" spans="1:2" ht="20" customHeight="1" x14ac:dyDescent="0.2">
      <c r="A158" s="7" t="s">
        <v>648</v>
      </c>
      <c r="B158" s="4" t="s">
        <v>649</v>
      </c>
    </row>
    <row r="159" spans="1:2" ht="20" customHeight="1" x14ac:dyDescent="0.2">
      <c r="A159" s="7" t="s">
        <v>70</v>
      </c>
      <c r="B159" s="4" t="s">
        <v>115</v>
      </c>
    </row>
    <row r="160" spans="1:2" ht="20" customHeight="1" x14ac:dyDescent="0.2">
      <c r="A160" s="7" t="s">
        <v>71</v>
      </c>
      <c r="B160" s="4" t="s">
        <v>99</v>
      </c>
    </row>
    <row r="161" spans="1:2" ht="20" customHeight="1" x14ac:dyDescent="0.2">
      <c r="A161" s="7" t="s">
        <v>72</v>
      </c>
      <c r="B161" s="4" t="s">
        <v>100</v>
      </c>
    </row>
    <row r="162" spans="1:2" ht="20" customHeight="1" x14ac:dyDescent="0.2">
      <c r="A162" s="7" t="s">
        <v>73</v>
      </c>
      <c r="B162" s="4" t="s">
        <v>101</v>
      </c>
    </row>
    <row r="163" spans="1:2" ht="20" customHeight="1" x14ac:dyDescent="0.2">
      <c r="A163" s="7" t="s">
        <v>74</v>
      </c>
      <c r="B163" s="4" t="s">
        <v>116</v>
      </c>
    </row>
    <row r="164" spans="1:2" ht="20" customHeight="1" x14ac:dyDescent="0.2">
      <c r="A164" s="7" t="s">
        <v>79</v>
      </c>
      <c r="B164" s="4" t="s">
        <v>650</v>
      </c>
    </row>
    <row r="165" spans="1:2" ht="20" customHeight="1" x14ac:dyDescent="0.2">
      <c r="A165" s="7" t="s">
        <v>80</v>
      </c>
      <c r="B165" s="4" t="s">
        <v>102</v>
      </c>
    </row>
    <row r="166" spans="1:2" ht="20" customHeight="1" x14ac:dyDescent="0.2">
      <c r="A166" s="7" t="s">
        <v>81</v>
      </c>
      <c r="B166" s="4" t="s">
        <v>117</v>
      </c>
    </row>
    <row r="167" spans="1:2" ht="20" customHeight="1" thickBot="1" x14ac:dyDescent="0.25">
      <c r="A167" s="13" t="s">
        <v>651</v>
      </c>
      <c r="B167" s="4" t="s">
        <v>652</v>
      </c>
    </row>
    <row r="168" spans="1:2" ht="20" customHeight="1" x14ac:dyDescent="0.2">
      <c r="A168" s="65" t="s">
        <v>83</v>
      </c>
      <c r="B168" s="66"/>
    </row>
    <row r="169" spans="1:2" ht="20" customHeight="1" x14ac:dyDescent="0.2">
      <c r="A169" s="6" t="s">
        <v>43</v>
      </c>
      <c r="B169" s="4" t="s">
        <v>89</v>
      </c>
    </row>
    <row r="170" spans="1:2" ht="20" customHeight="1" x14ac:dyDescent="0.2">
      <c r="A170" s="6" t="s">
        <v>44</v>
      </c>
      <c r="B170" s="4" t="s">
        <v>90</v>
      </c>
    </row>
    <row r="171" spans="1:2" ht="20" customHeight="1" x14ac:dyDescent="0.2">
      <c r="A171" s="6" t="s">
        <v>45</v>
      </c>
      <c r="B171" s="4" t="s">
        <v>91</v>
      </c>
    </row>
    <row r="172" spans="1:2" ht="20" customHeight="1" x14ac:dyDescent="0.2">
      <c r="A172" s="6" t="s">
        <v>46</v>
      </c>
      <c r="B172" s="4" t="s">
        <v>92</v>
      </c>
    </row>
    <row r="173" spans="1:2" ht="20" customHeight="1" thickBot="1" x14ac:dyDescent="0.25">
      <c r="A173" s="6" t="s">
        <v>47</v>
      </c>
      <c r="B173" s="4" t="s">
        <v>93</v>
      </c>
    </row>
    <row r="174" spans="1:2" ht="20" customHeight="1" x14ac:dyDescent="0.2">
      <c r="A174" s="65" t="s">
        <v>84</v>
      </c>
      <c r="B174" s="66"/>
    </row>
    <row r="175" spans="1:2" ht="20" customHeight="1" x14ac:dyDescent="0.2">
      <c r="A175" s="6" t="s">
        <v>48</v>
      </c>
      <c r="B175" s="4" t="s">
        <v>94</v>
      </c>
    </row>
    <row r="176" spans="1:2" ht="20" customHeight="1" x14ac:dyDescent="0.2">
      <c r="A176" s="6" t="s">
        <v>49</v>
      </c>
      <c r="B176" s="4" t="s">
        <v>95</v>
      </c>
    </row>
    <row r="177" spans="1:2" ht="20" customHeight="1" x14ac:dyDescent="0.2">
      <c r="A177" s="6" t="s">
        <v>50</v>
      </c>
      <c r="B177" s="4" t="s">
        <v>96</v>
      </c>
    </row>
    <row r="178" spans="1:2" ht="20" customHeight="1" x14ac:dyDescent="0.2">
      <c r="A178" s="6" t="s">
        <v>51</v>
      </c>
      <c r="B178" s="4" t="s">
        <v>97</v>
      </c>
    </row>
    <row r="179" spans="1:2" ht="20" customHeight="1" x14ac:dyDescent="0.2">
      <c r="A179" s="6" t="s">
        <v>47</v>
      </c>
      <c r="B179" s="4" t="s">
        <v>98</v>
      </c>
    </row>
  </sheetData>
  <mergeCells count="25">
    <mergeCell ref="A3:B3"/>
    <mergeCell ref="A52:B52"/>
    <mergeCell ref="A63:B63"/>
    <mergeCell ref="A74:B74"/>
    <mergeCell ref="A13:B13"/>
    <mergeCell ref="A19:B19"/>
    <mergeCell ref="A25:B25"/>
    <mergeCell ref="A31:B31"/>
    <mergeCell ref="A34:B34"/>
    <mergeCell ref="A4:B4"/>
    <mergeCell ref="A16:B16"/>
    <mergeCell ref="A22:B22"/>
    <mergeCell ref="A7:B7"/>
    <mergeCell ref="A10:B10"/>
    <mergeCell ref="A28:B28"/>
    <mergeCell ref="A40:B40"/>
    <mergeCell ref="A37:B37"/>
    <mergeCell ref="A174:B174"/>
    <mergeCell ref="A41:B41"/>
    <mergeCell ref="A107:B107"/>
    <mergeCell ref="A142:B142"/>
    <mergeCell ref="A85:B85"/>
    <mergeCell ref="A96:B96"/>
    <mergeCell ref="A151:B151"/>
    <mergeCell ref="A168:B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 Page </vt:lpstr>
      <vt:lpstr>Input Parameters &amp; Sources</vt:lpstr>
      <vt:lpstr>Outcome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Amr Mahfouz</cp:lastModifiedBy>
  <dcterms:created xsi:type="dcterms:W3CDTF">2020-04-01T14:35:21Z</dcterms:created>
  <dcterms:modified xsi:type="dcterms:W3CDTF">2026-08-25T18:17:55Z</dcterms:modified>
</cp:coreProperties>
</file>