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mc:AlternateContent xmlns:mc="http://schemas.openxmlformats.org/markup-compatibility/2006">
    <mc:Choice Requires="x15">
      <x15ac:absPath xmlns:x15ac="http://schemas.microsoft.com/office/spreadsheetml/2010/11/ac" url="/Users/iniyanilaalagunirmal/Downloads/"/>
    </mc:Choice>
  </mc:AlternateContent>
  <xr:revisionPtr revIDLastSave="0" documentId="13_ncr:1_{5B32074E-3857-3F4E-8913-14530D7C8756}" xr6:coauthVersionLast="47" xr6:coauthVersionMax="47" xr10:uidLastSave="{00000000-0000-0000-0000-000000000000}"/>
  <bookViews>
    <workbookView xWindow="0" yWindow="680" windowWidth="34560" windowHeight="20440" firstSheet="1" activeTab="2" xr2:uid="{00000000-000D-0000-FFFF-FFFF00000000}"/>
  </bookViews>
  <sheets>
    <sheet name="Input Parameter Design" sheetId="8" r:id="rId1"/>
    <sheet name="Output Indicator Design" sheetId="9" r:id="rId2"/>
    <sheet name="NOLH Designs (2)" sheetId="4" r:id="rId3"/>
    <sheet name="Actual Values" sheetId="2" r:id="rId4"/>
    <sheet name="ExpValues Eq" sheetId="3" r:id="rId5"/>
    <sheet name="ExpValues" sheetId="10" r:id="rId6"/>
    <sheet name="SimResult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3" l="1"/>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4" i="3"/>
  <c r="D23" i="3"/>
  <c r="D24" i="3"/>
  <c r="D25" i="3"/>
  <c r="D26" i="3"/>
  <c r="D27" i="3"/>
  <c r="D28" i="3"/>
  <c r="D29" i="3"/>
  <c r="D30" i="3"/>
  <c r="D31" i="3"/>
  <c r="D32" i="3"/>
  <c r="D33" i="3"/>
  <c r="D5" i="3"/>
  <c r="D6" i="3"/>
  <c r="D7" i="3"/>
  <c r="D8" i="3"/>
  <c r="D9" i="3"/>
  <c r="D10" i="3"/>
  <c r="D11" i="3"/>
  <c r="D12" i="3"/>
  <c r="D13" i="3"/>
  <c r="D14" i="3"/>
  <c r="D15" i="3"/>
  <c r="D16" i="3"/>
  <c r="D17" i="3"/>
  <c r="D18" i="3"/>
  <c r="D19" i="3"/>
  <c r="D20" i="3"/>
  <c r="D21" i="3"/>
  <c r="D22" i="3"/>
  <c r="D4" i="3"/>
  <c r="C19" i="3"/>
  <c r="C20" i="3"/>
  <c r="C21" i="3"/>
  <c r="C22" i="3"/>
  <c r="C23" i="3"/>
  <c r="C24" i="3"/>
  <c r="C25" i="3"/>
  <c r="C26" i="3"/>
  <c r="C27" i="3"/>
  <c r="C28" i="3"/>
  <c r="C29" i="3"/>
  <c r="C30" i="3"/>
  <c r="C31" i="3"/>
  <c r="C32" i="3"/>
  <c r="C33" i="3"/>
  <c r="C5" i="3"/>
  <c r="C6" i="3"/>
  <c r="C7" i="3"/>
  <c r="C8" i="3"/>
  <c r="C9" i="3"/>
  <c r="C10" i="3"/>
  <c r="C11" i="3"/>
  <c r="C12" i="3"/>
  <c r="C13" i="3"/>
  <c r="C14" i="3"/>
  <c r="C15" i="3"/>
  <c r="C16" i="3"/>
  <c r="C17" i="3"/>
  <c r="C18" i="3"/>
  <c r="C4" i="3"/>
  <c r="B14" i="3"/>
  <c r="B15" i="3"/>
  <c r="B16" i="3"/>
  <c r="B17" i="3"/>
  <c r="B18" i="3"/>
  <c r="B19" i="3"/>
  <c r="B20" i="3"/>
  <c r="B21" i="3"/>
  <c r="B22" i="3"/>
  <c r="B23" i="3"/>
  <c r="B24" i="3"/>
  <c r="B25" i="3"/>
  <c r="B26" i="3"/>
  <c r="B27" i="3"/>
  <c r="B28" i="3"/>
  <c r="B29" i="3"/>
  <c r="B30" i="3"/>
  <c r="B31" i="3"/>
  <c r="B32" i="3"/>
  <c r="B33" i="3"/>
  <c r="B5" i="3"/>
  <c r="B6" i="3"/>
  <c r="B7" i="3"/>
  <c r="B8" i="3"/>
  <c r="B9" i="3"/>
  <c r="B10" i="3"/>
  <c r="B11" i="3"/>
  <c r="B12" i="3"/>
  <c r="B13" i="3"/>
  <c r="B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4" i="3"/>
  <c r="O5" i="3" l="1"/>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H25" i="3" l="1"/>
  <c r="G25" i="3"/>
  <c r="H13" i="3"/>
  <c r="G13" i="3"/>
  <c r="K22" i="3"/>
  <c r="J22" i="3"/>
  <c r="K10" i="3"/>
  <c r="J10" i="3"/>
  <c r="M31" i="3"/>
  <c r="N31" i="3"/>
  <c r="M19" i="3"/>
  <c r="N19" i="3"/>
  <c r="M7" i="3"/>
  <c r="N7" i="3"/>
  <c r="Q28" i="3"/>
  <c r="P28" i="3"/>
  <c r="Q16" i="3"/>
  <c r="P16" i="3"/>
  <c r="V5" i="4"/>
  <c r="F4" i="3"/>
  <c r="G24" i="3"/>
  <c r="H24" i="3"/>
  <c r="G12" i="3"/>
  <c r="H12" i="3"/>
  <c r="J33" i="3"/>
  <c r="K33" i="3"/>
  <c r="K21" i="3"/>
  <c r="J21" i="3"/>
  <c r="K9" i="3"/>
  <c r="J9" i="3"/>
  <c r="M30" i="3"/>
  <c r="N30" i="3"/>
  <c r="M18" i="3"/>
  <c r="N18" i="3"/>
  <c r="M6" i="3"/>
  <c r="N6" i="3"/>
  <c r="Q27" i="3"/>
  <c r="P27" i="3"/>
  <c r="Q15" i="3"/>
  <c r="P15" i="3"/>
  <c r="G23" i="3"/>
  <c r="H23" i="3"/>
  <c r="H11" i="3"/>
  <c r="G11" i="3"/>
  <c r="K32" i="3"/>
  <c r="J32" i="3"/>
  <c r="K20" i="3"/>
  <c r="J20" i="3"/>
  <c r="K8" i="3"/>
  <c r="J8" i="3"/>
  <c r="M29" i="3"/>
  <c r="N29" i="3"/>
  <c r="M17" i="3"/>
  <c r="N17" i="3"/>
  <c r="M5" i="3"/>
  <c r="N5" i="3"/>
  <c r="Q26" i="3"/>
  <c r="P26" i="3"/>
  <c r="Q14" i="3"/>
  <c r="P14" i="3"/>
  <c r="G22" i="3"/>
  <c r="H22" i="3"/>
  <c r="G10" i="3"/>
  <c r="H10" i="3"/>
  <c r="J31" i="3"/>
  <c r="K31" i="3"/>
  <c r="K19" i="3"/>
  <c r="J19" i="3"/>
  <c r="J7" i="3"/>
  <c r="K7" i="3"/>
  <c r="M28" i="3"/>
  <c r="N28" i="3"/>
  <c r="M16" i="3"/>
  <c r="N16" i="3"/>
  <c r="P4" i="3"/>
  <c r="Q4" i="3"/>
  <c r="Q25" i="3"/>
  <c r="P25" i="3"/>
  <c r="P13" i="3"/>
  <c r="Q13" i="3"/>
  <c r="H33" i="3"/>
  <c r="G33" i="3"/>
  <c r="H21" i="3"/>
  <c r="G21" i="3"/>
  <c r="H9" i="3"/>
  <c r="G9" i="3"/>
  <c r="J30" i="3"/>
  <c r="K30" i="3"/>
  <c r="J18" i="3"/>
  <c r="K18" i="3"/>
  <c r="J6" i="3"/>
  <c r="K6" i="3"/>
  <c r="M27" i="3"/>
  <c r="N27" i="3"/>
  <c r="M15" i="3"/>
  <c r="N15" i="3"/>
  <c r="Q24" i="3"/>
  <c r="P24" i="3"/>
  <c r="P12" i="3"/>
  <c r="Q12" i="3"/>
  <c r="G32" i="3"/>
  <c r="H32" i="3"/>
  <c r="H20" i="3"/>
  <c r="G20" i="3"/>
  <c r="H8" i="3"/>
  <c r="G8" i="3"/>
  <c r="J29" i="3"/>
  <c r="K29" i="3"/>
  <c r="K17" i="3"/>
  <c r="J17" i="3"/>
  <c r="K5" i="3"/>
  <c r="J5" i="3"/>
  <c r="M26" i="3"/>
  <c r="N26" i="3"/>
  <c r="M14" i="3"/>
  <c r="N14" i="3"/>
  <c r="Q23" i="3"/>
  <c r="P23" i="3"/>
  <c r="P11" i="3"/>
  <c r="Q11" i="3"/>
  <c r="G31" i="3"/>
  <c r="H31" i="3"/>
  <c r="G19" i="3"/>
  <c r="H19" i="3"/>
  <c r="H7" i="3"/>
  <c r="G7" i="3"/>
  <c r="J28" i="3"/>
  <c r="K28" i="3"/>
  <c r="J16" i="3"/>
  <c r="K16" i="3"/>
  <c r="N4" i="3"/>
  <c r="M4" i="3"/>
  <c r="N25" i="3"/>
  <c r="M25" i="3"/>
  <c r="N13" i="3"/>
  <c r="M13" i="3"/>
  <c r="P22" i="3"/>
  <c r="Q22" i="3"/>
  <c r="P10" i="3"/>
  <c r="Q10" i="3"/>
  <c r="H30" i="3"/>
  <c r="G30" i="3"/>
  <c r="H18" i="3"/>
  <c r="G18" i="3"/>
  <c r="H6" i="3"/>
  <c r="G6" i="3"/>
  <c r="J27" i="3"/>
  <c r="K27" i="3"/>
  <c r="J15" i="3"/>
  <c r="K15" i="3"/>
  <c r="N24" i="3"/>
  <c r="M24" i="3"/>
  <c r="N12" i="3"/>
  <c r="M12" i="3"/>
  <c r="P33" i="3"/>
  <c r="Q33" i="3"/>
  <c r="P21" i="3"/>
  <c r="Q21" i="3"/>
  <c r="P9" i="3"/>
  <c r="Q9" i="3"/>
  <c r="H29" i="3"/>
  <c r="G29" i="3"/>
  <c r="G17" i="3"/>
  <c r="H17" i="3"/>
  <c r="H5" i="3"/>
  <c r="G5" i="3"/>
  <c r="J26" i="3"/>
  <c r="K26" i="3"/>
  <c r="J14" i="3"/>
  <c r="K14" i="3"/>
  <c r="N23" i="3"/>
  <c r="M23" i="3"/>
  <c r="N11" i="3"/>
  <c r="M11" i="3"/>
  <c r="P32" i="3"/>
  <c r="Q32" i="3"/>
  <c r="P20" i="3"/>
  <c r="Q20" i="3"/>
  <c r="P8" i="3"/>
  <c r="Q8" i="3"/>
  <c r="H28" i="3"/>
  <c r="G28" i="3"/>
  <c r="G16" i="3"/>
  <c r="H16" i="3"/>
  <c r="K4" i="3"/>
  <c r="J4" i="3"/>
  <c r="K25" i="3"/>
  <c r="J25" i="3"/>
  <c r="K13" i="3"/>
  <c r="J13" i="3"/>
  <c r="N22" i="3"/>
  <c r="M22" i="3"/>
  <c r="N10" i="3"/>
  <c r="M10" i="3"/>
  <c r="P31" i="3"/>
  <c r="Q31" i="3"/>
  <c r="P19" i="3"/>
  <c r="Q19" i="3"/>
  <c r="P7" i="3"/>
  <c r="Q7" i="3"/>
  <c r="H27" i="3"/>
  <c r="G27" i="3"/>
  <c r="G15" i="3"/>
  <c r="H15" i="3"/>
  <c r="K24" i="3"/>
  <c r="J24" i="3"/>
  <c r="K12" i="3"/>
  <c r="J12" i="3"/>
  <c r="N33" i="3"/>
  <c r="M33" i="3"/>
  <c r="N21" i="3"/>
  <c r="M21" i="3"/>
  <c r="N9" i="3"/>
  <c r="M9" i="3"/>
  <c r="P30" i="3"/>
  <c r="Q30" i="3"/>
  <c r="P18" i="3"/>
  <c r="Q18" i="3"/>
  <c r="P6" i="3"/>
  <c r="Q6" i="3"/>
  <c r="H26" i="3"/>
  <c r="G26" i="3"/>
  <c r="H14" i="3"/>
  <c r="G14" i="3"/>
  <c r="J23" i="3"/>
  <c r="K23" i="3"/>
  <c r="J11" i="3"/>
  <c r="K11" i="3"/>
  <c r="N32" i="3"/>
  <c r="M32" i="3"/>
  <c r="N20" i="3"/>
  <c r="M20" i="3"/>
  <c r="N8" i="3"/>
  <c r="M8" i="3"/>
  <c r="P29" i="3"/>
  <c r="Q29" i="3"/>
  <c r="P17" i="3"/>
  <c r="Q17" i="3"/>
  <c r="P5" i="3"/>
  <c r="Q5" i="3"/>
  <c r="H4" i="3" l="1"/>
  <c r="G4" i="3"/>
</calcChain>
</file>

<file path=xl/sharedStrings.xml><?xml version="1.0" encoding="utf-8"?>
<sst xmlns="http://schemas.openxmlformats.org/spreadsheetml/2006/main" count="328" uniqueCount="198">
  <si>
    <t>low level</t>
  </si>
  <si>
    <t>high level</t>
  </si>
  <si>
    <t>decimals</t>
  </si>
  <si>
    <t>factor name</t>
  </si>
  <si>
    <t>Shift of demand of inbound non-agri products (from LB to Cherbourg route)</t>
  </si>
  <si>
    <t>Shift of demand of outbound non-agri products (from LB to Cherbourg route)</t>
  </si>
  <si>
    <t>Shift of demand of inbound agri products (from LB to Cherbourg route)</t>
  </si>
  <si>
    <t>Shift of demand of outbound agri products (from LB to Cherbourg route)</t>
  </si>
  <si>
    <t>Check timings for documentry and seal identity</t>
  </si>
  <si>
    <t>Check timings for physical</t>
  </si>
  <si>
    <t xml:space="preserve">Pecentage of non-agri outbound green route trucks </t>
  </si>
  <si>
    <t xml:space="preserve">Pecentage of non-agri outbound red route trucks </t>
  </si>
  <si>
    <t xml:space="preserve">Pecentage of agri outbound red route trucks </t>
  </si>
  <si>
    <t xml:space="preserve">Pecentage of non-agri inbound green route trucks </t>
  </si>
  <si>
    <t xml:space="preserve">Pecentage of non-agri inbound red route trucks </t>
  </si>
  <si>
    <t xml:space="preserve">Pecentage of agri inbound red route trucks </t>
  </si>
  <si>
    <t>Percentage of inbound trucks stop due to pre-bording status</t>
  </si>
  <si>
    <t>Percentage of outbound trucks stop due to pre-bording status</t>
  </si>
  <si>
    <t>Number of Custom shed</t>
  </si>
  <si>
    <t>Number of DAFM Bays</t>
  </si>
  <si>
    <t>Vessel capacity from Dublin</t>
  </si>
  <si>
    <t>Vessel capacity from Rosslare</t>
  </si>
  <si>
    <t>ProductVol between IR_UK</t>
  </si>
  <si>
    <t>ProductVol between IR_EU (via LB)</t>
  </si>
  <si>
    <t>ProductVol between IR_EU (via DR_Cherbourge)</t>
  </si>
  <si>
    <t>NA_Ex</t>
  </si>
  <si>
    <t>NA_Im</t>
  </si>
  <si>
    <t>A_Im</t>
  </si>
  <si>
    <t>A_Ex</t>
  </si>
  <si>
    <t>Number of Custom shed Dublin</t>
  </si>
  <si>
    <t>Number of DAFM Bays Dublin</t>
  </si>
  <si>
    <t>Number of Custom shed Rosslare</t>
  </si>
  <si>
    <t>Number of DAFM Bays Rosslare</t>
  </si>
  <si>
    <t>Vessel capacity from Dublin to Hey</t>
  </si>
  <si>
    <t>Vessel capacity from Dublin to Holy</t>
  </si>
  <si>
    <t>Vessel capacity from Dublin to Liv</t>
  </si>
  <si>
    <t>Vessel capacity from Rosslare to Fish</t>
  </si>
  <si>
    <t>Vessel capacity from Rosslare to Pem</t>
  </si>
  <si>
    <t>NA_Im_LB</t>
  </si>
  <si>
    <t>NA_Im_DR</t>
  </si>
  <si>
    <t>Shift _Vol</t>
  </si>
  <si>
    <t>NA_Ex_LB</t>
  </si>
  <si>
    <t>NA_Ex_DR</t>
  </si>
  <si>
    <t>A_Im_LB</t>
  </si>
  <si>
    <t>A_Im_DR</t>
  </si>
  <si>
    <t>A_Ex_LB</t>
  </si>
  <si>
    <t>A_Ex_DR</t>
  </si>
  <si>
    <t>TT_OB_Agri</t>
  </si>
  <si>
    <t>TT_IB_Agri</t>
  </si>
  <si>
    <t>WT_IB_NA_Dub</t>
  </si>
  <si>
    <t>WT_IB_A_Dub</t>
  </si>
  <si>
    <t>WT_IB_NA_Ross</t>
  </si>
  <si>
    <t>WT_IB_A_Ross</t>
  </si>
  <si>
    <t>TT_OB_LB</t>
  </si>
  <si>
    <t>TT_IB_LB</t>
  </si>
  <si>
    <t>TT_OB_DR</t>
  </si>
  <si>
    <t>TT_IB_DR</t>
  </si>
  <si>
    <t>WT_OB_A_GB-Dub</t>
  </si>
  <si>
    <t>WT_OB_NA_GB-Dub</t>
  </si>
  <si>
    <t>WT_OB_A_GB-Ross</t>
  </si>
  <si>
    <t>WT_OB_NA_GB-Ross</t>
  </si>
  <si>
    <t>WT_IB_LB</t>
  </si>
  <si>
    <t>WT_OB_LB</t>
  </si>
  <si>
    <t>Uti_Cus_D</t>
  </si>
  <si>
    <t>Uti_DAFM_D</t>
  </si>
  <si>
    <t>Uti_Cus_R</t>
  </si>
  <si>
    <t>Uti_DAFM_R</t>
  </si>
  <si>
    <t>List of Output indicator</t>
  </si>
  <si>
    <t>S.No.</t>
  </si>
  <si>
    <t>Name of Indicator</t>
  </si>
  <si>
    <t>Discription of Indicator</t>
  </si>
  <si>
    <t>Amr Comments</t>
  </si>
  <si>
    <t>TT_OB_NA</t>
  </si>
  <si>
    <t>Transportation time of outbound non-agri trucks going from IRL to GB</t>
  </si>
  <si>
    <t>TT_IB_NA</t>
  </si>
  <si>
    <t>Transportation time of inbound non-agri trucks going from GB to IRL</t>
  </si>
  <si>
    <t>TT_OB_A</t>
  </si>
  <si>
    <t>Transportation time of outbound agri trucks going from IRL to GB</t>
  </si>
  <si>
    <t>TT_IB_A</t>
  </si>
  <si>
    <t>Transportation time of inbound agri trucks going from GB to IRL</t>
  </si>
  <si>
    <t>Transportation time of outbound All trucks going from IRL to EU (via landbridge)</t>
  </si>
  <si>
    <t>Transportation time of inbound All trucks going from EU to IRL (via landbridge)</t>
  </si>
  <si>
    <t>Transportation time of outbound All trucks going from IRL to EU (Direct via France)</t>
  </si>
  <si>
    <t>Transportation time of inbound All trucks going from EU to IRL (Direct via France)</t>
  </si>
  <si>
    <t>NA_IB_WT</t>
  </si>
  <si>
    <t>Waiting time/Queue Length of inbound non-agri trucks at Dubli/Rosslare port</t>
  </si>
  <si>
    <t>A_IB_WT</t>
  </si>
  <si>
    <t>Waiting time/Queue Length of inbound agri trucks at Dublin/Rosslare port</t>
  </si>
  <si>
    <t>Waiting time/Queue Length of inbound non-agri trucks at UK West port/Dover (5 Ports)</t>
  </si>
  <si>
    <t>Waiting time/Queue Length of inbound agri trucks at UK West port/Dover (5 Ports)</t>
  </si>
  <si>
    <t>Waiting time/Queue Length of inbound Transit trucks at France port (Calais for the landbridge)</t>
  </si>
  <si>
    <t>Uti_Cus</t>
  </si>
  <si>
    <t>Utilisation of custom shed at Dublin/Rosslare Port (2 ports)</t>
  </si>
  <si>
    <t>Uti_DAFM</t>
  </si>
  <si>
    <t>Utilisation of DAFM Bays at Dublin/Rosslare Port (2 ports)</t>
  </si>
  <si>
    <t>IRE - UK</t>
  </si>
  <si>
    <t>The focus on Agri-food in particular</t>
  </si>
  <si>
    <t>IRE - EU Landbridge</t>
  </si>
  <si>
    <t>EU - IRE Landbridge</t>
  </si>
  <si>
    <t>UK - IRE</t>
  </si>
  <si>
    <t>IRE - EU Direct</t>
  </si>
  <si>
    <t xml:space="preserve">EU - IRE Direct </t>
  </si>
  <si>
    <t>List of Input Parameters</t>
  </si>
  <si>
    <t>Name of Parameter</t>
  </si>
  <si>
    <t>Discription of parameter</t>
  </si>
  <si>
    <t>Levels</t>
  </si>
  <si>
    <t>Amr Comment</t>
  </si>
  <si>
    <t>Low</t>
  </si>
  <si>
    <t>Mid</t>
  </si>
  <si>
    <t>High</t>
  </si>
  <si>
    <t>Shifts in Trade Volume</t>
  </si>
  <si>
    <t>Demand of inbound non-agri products (from GB to IRL)</t>
  </si>
  <si>
    <t>Reduce 25%</t>
  </si>
  <si>
    <t>Current</t>
  </si>
  <si>
    <t>Increase 25%</t>
  </si>
  <si>
    <r>
      <t xml:space="preserve">Changes in Demand (Imports/ Exports) were caused because on COVID-19 in the first place. With respect to Agri-food, the sector is less likely to witness major shift in demand because of Brexit only. Although there are preparations to replace the UK market with others in EU and beyond for some sectors (Cheese), other sectors still relay heavily on the UK. </t>
    </r>
    <r>
      <rPr>
        <b/>
        <sz val="12"/>
        <color rgb="FFFF0000"/>
        <rFont val="Calibri (Body)"/>
      </rPr>
      <t>(We need to decide here if COVID-19 will considered on the paper or not)</t>
    </r>
    <r>
      <rPr>
        <sz val="12"/>
        <color theme="1"/>
        <rFont val="Calibri"/>
        <family val="2"/>
        <scheme val="minor"/>
      </rPr>
      <t xml:space="preserve"> </t>
    </r>
    <r>
      <rPr>
        <b/>
        <sz val="12"/>
        <color theme="1"/>
        <rFont val="Calibri"/>
        <family val="2"/>
        <scheme val="minor"/>
      </rPr>
      <t>[the Decision is that the article will focus only on Brexit disruption so no need to change these set of parametyers ]</t>
    </r>
  </si>
  <si>
    <t>Demand of outbound non-agri products (from IRL to GB)</t>
  </si>
  <si>
    <t>Demand of inbound agri products (from GB to IRL)</t>
  </si>
  <si>
    <t>Demand of outbound agri products (from IRL to GB)</t>
  </si>
  <si>
    <t>Direct Routes to Mainland Europe</t>
  </si>
  <si>
    <t>Shift 25%</t>
  </si>
  <si>
    <t>Shift 50%</t>
  </si>
  <si>
    <t>This parameter will difinitily be considered. Rosslare must be considered as well since most of Direct Sailing start from Rosslare now</t>
  </si>
  <si>
    <t>Vessel capacity between Dublin and Holyhead route</t>
  </si>
  <si>
    <t>Reduce 50%</t>
  </si>
  <si>
    <t>Reduce 75%</t>
  </si>
  <si>
    <t>Direct shipping capacity should also be considered. New sailing frequency from Rosslare should be added to the model. Updates on their capacity and destination points should be collected. Rosslare-Bilbao (other Spain ports) to be added</t>
  </si>
  <si>
    <t>Vessel capacity between Dublin and Heysham route</t>
  </si>
  <si>
    <t>Vessel capacity between Dublin and Liverpool route</t>
  </si>
  <si>
    <t>Customs Expertise &amp; Resources</t>
  </si>
  <si>
    <t>Important</t>
  </si>
  <si>
    <t xml:space="preserve">To be Considered </t>
  </si>
  <si>
    <t>Border Checks Intervention</t>
  </si>
  <si>
    <t>Low (90%)</t>
  </si>
  <si>
    <t>Current (70%)</t>
  </si>
  <si>
    <t>High (60%)</t>
  </si>
  <si>
    <r>
      <t xml:space="preserve">Our focus in the paper should focus on SPS percenatges of Agri-food (Export and import). </t>
    </r>
    <r>
      <rPr>
        <b/>
        <sz val="12"/>
        <color rgb="FFFF0000"/>
        <rFont val="Calibri (Body)"/>
      </rPr>
      <t>Non-Agri related parameters should be tested againsyt Customs Sheds indicators. Agri parameters should be tested against DAFM sheds indicators</t>
    </r>
  </si>
  <si>
    <t>Low (10%)</t>
  </si>
  <si>
    <t>Current (30%)</t>
  </si>
  <si>
    <t>High (40%)</t>
  </si>
  <si>
    <t>Current (20%)</t>
  </si>
  <si>
    <t>High (30%)</t>
  </si>
  <si>
    <t>NA-IM</t>
  </si>
  <si>
    <t>Code</t>
  </si>
  <si>
    <t>NA-EX</t>
  </si>
  <si>
    <t>A-IMP</t>
  </si>
  <si>
    <t>A-EXP</t>
  </si>
  <si>
    <t>Direct Route to Mainland Europe</t>
  </si>
  <si>
    <t>Borders Checks Intervention</t>
  </si>
  <si>
    <t>Agri Products</t>
  </si>
  <si>
    <t>Outbound</t>
  </si>
  <si>
    <t>Inbound</t>
  </si>
  <si>
    <t>Non-Agri Products</t>
  </si>
  <si>
    <t>Dublin</t>
  </si>
  <si>
    <t>Rosslare</t>
  </si>
  <si>
    <t>Routes</t>
  </si>
  <si>
    <t>Landbridge</t>
  </si>
  <si>
    <t>Direct route</t>
  </si>
  <si>
    <t>Staff Utilisation</t>
  </si>
  <si>
    <t>Rooslare</t>
  </si>
  <si>
    <t>VolAllPImGB</t>
  </si>
  <si>
    <t>VolAllPExGB</t>
  </si>
  <si>
    <t>VolAgriImGB</t>
  </si>
  <si>
    <t>VolAgriExGB</t>
  </si>
  <si>
    <t>VolAllPImEULB</t>
  </si>
  <si>
    <t>VolAllPExEULB</t>
  </si>
  <si>
    <t>VolAgriImEULB</t>
  </si>
  <si>
    <t>VolAgriExEULB</t>
  </si>
  <si>
    <t>VolAllPImViaChe</t>
  </si>
  <si>
    <t>VolAllPExViaChe</t>
  </si>
  <si>
    <t>VolAgriImViaChe</t>
  </si>
  <si>
    <t>VolAgriExViaChe</t>
  </si>
  <si>
    <t>DToHeyVesselCap</t>
  </si>
  <si>
    <t>DToLivVesselCap</t>
  </si>
  <si>
    <t>DToHolyVesselCap</t>
  </si>
  <si>
    <t>RToFishVesselCap</t>
  </si>
  <si>
    <t>RToPemVesselCap</t>
  </si>
  <si>
    <t>NumCustomOfficerD</t>
  </si>
  <si>
    <t>NumDAFMOfficerD</t>
  </si>
  <si>
    <t>NumCustomOfficerR</t>
  </si>
  <si>
    <t>NumDAFMOfficerR</t>
  </si>
  <si>
    <t>DocChkTimeAPImIR
DocChkTimeAgriImIR
DocChkTimeAPImGB-W
DocChkTimeAgriImGB-W
DocCheckTimeImGB-E
DocCheckTimeImEU</t>
  </si>
  <si>
    <t>PhyChkTimeAPImIR
PhyChkTimeAgriImIR
PhyChkTimeAPImGB-W
PhyChkTimeAgriImGB-W
PhyCheckTimeImGB-E
PhyCheckTimeImEU</t>
  </si>
  <si>
    <t>PerGreenTrucksAPImIR</t>
  </si>
  <si>
    <t>PerPhyChkAPImIR</t>
  </si>
  <si>
    <t>PerSecurityChkAPIR</t>
  </si>
  <si>
    <t>PerPhyChkAgriImIR</t>
  </si>
  <si>
    <t>Percentage of inbound non-Agri trucks stop due to pre-bording status</t>
  </si>
  <si>
    <t>Percentage of inbound Agri trucks stop due to pre-bording status</t>
  </si>
  <si>
    <t>PerSecurityChkAgriIR</t>
  </si>
  <si>
    <t>PerGreenTrucksAPImGB-W</t>
  </si>
  <si>
    <t>PerPhyChkAPImGB-W</t>
  </si>
  <si>
    <t>PerSecurityChkAPGB-W</t>
  </si>
  <si>
    <t>PerPhyChkAgriImGB-W</t>
  </si>
  <si>
    <t>PerSecurityChkAgriGB-W</t>
  </si>
  <si>
    <t>DocCheckTimeImGB-E/ PerGreenTrucksImEU</t>
  </si>
  <si>
    <t>PerPhyChkImGB-E/PerPhyChkImEU</t>
  </si>
  <si>
    <t>PerSecurityChkGB-E/PerSecurityChkEU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</si>
</sst>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0"/>
      <name val="Arial"/>
      <family val="2"/>
    </font>
    <font>
      <b/>
      <sz val="12"/>
      <color theme="1"/>
      <name val="Calibri"/>
      <family val="2"/>
      <scheme val="minor"/>
    </font>
    <font>
      <sz val="12"/>
      <color theme="1"/>
      <name val="Calibri"/>
      <family val="2"/>
      <scheme val="minor"/>
    </font>
    <font>
      <b/>
      <sz val="12"/>
      <color rgb="FF000000"/>
      <name val="Calibri"/>
      <family val="2"/>
      <scheme val="minor"/>
    </font>
    <font>
      <sz val="12"/>
      <color rgb="FF000000"/>
      <name val="Calibri"/>
      <family val="2"/>
      <scheme val="minor"/>
    </font>
    <font>
      <b/>
      <sz val="12"/>
      <color rgb="FFFF0000"/>
      <name val="Calibri (Body)"/>
    </font>
    <font>
      <b/>
      <sz val="16"/>
      <color theme="1"/>
      <name val="Calibri"/>
      <family val="2"/>
      <scheme val="minor"/>
    </font>
    <font>
      <b/>
      <sz val="10"/>
      <color rgb="FFC00000"/>
      <name val="Arial"/>
      <family val="2"/>
    </font>
  </fonts>
  <fills count="9">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theme="7" tint="0.39997558519241921"/>
        <bgColor indexed="64"/>
      </patternFill>
    </fill>
    <fill>
      <patternFill patternType="solid">
        <fgColor rgb="FFFF0000"/>
        <bgColor rgb="FF000000"/>
      </patternFill>
    </fill>
    <fill>
      <patternFill patternType="solid">
        <fgColor rgb="FF00B050"/>
        <bgColor rgb="FF000000"/>
      </patternFill>
    </fill>
    <fill>
      <patternFill patternType="solid">
        <fgColor theme="9" tint="0.39997558519241921"/>
        <bgColor indexed="64"/>
      </patternFill>
    </fill>
    <fill>
      <patternFill patternType="solid">
        <fgColor theme="5"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3" fillId="0" borderId="0"/>
  </cellStyleXfs>
  <cellXfs count="123">
    <xf numFmtId="0" fontId="0" fillId="0" borderId="0" xfId="0"/>
    <xf numFmtId="0" fontId="1" fillId="2" borderId="1" xfId="0" applyFont="1" applyFill="1" applyBorder="1" applyAlignment="1" applyProtection="1">
      <alignment horizontal="right"/>
      <protection locked="0"/>
    </xf>
    <xf numFmtId="0" fontId="1" fillId="0" borderId="0" xfId="0" applyFont="1"/>
    <xf numFmtId="0" fontId="1" fillId="2" borderId="1" xfId="0" applyFont="1" applyFill="1" applyBorder="1" applyAlignment="1" applyProtection="1">
      <alignment horizontal="center" vertical="center" wrapText="1"/>
      <protection locked="0"/>
    </xf>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1" fillId="0" borderId="1" xfId="0" applyFont="1" applyBorder="1" applyAlignment="1">
      <alignment horizontal="center"/>
    </xf>
    <xf numFmtId="0" fontId="0" fillId="4" borderId="1" xfId="0" applyFill="1" applyBorder="1" applyAlignment="1">
      <alignment horizontal="center" vertical="center"/>
    </xf>
    <xf numFmtId="0" fontId="1" fillId="0" borderId="0" xfId="0" applyFont="1" applyAlignment="1">
      <alignment horizontal="center"/>
    </xf>
    <xf numFmtId="0" fontId="0" fillId="3" borderId="1" xfId="0" applyFill="1" applyBorder="1" applyAlignment="1">
      <alignment horizontal="center" vertical="center"/>
    </xf>
    <xf numFmtId="0" fontId="2" fillId="0" borderId="1" xfId="0" applyFont="1" applyBorder="1" applyAlignment="1">
      <alignment horizontal="center" vertical="center"/>
    </xf>
    <xf numFmtId="1" fontId="0" fillId="0" borderId="1" xfId="0" applyNumberFormat="1" applyBorder="1" applyAlignment="1">
      <alignment horizontal="center" vertical="center"/>
    </xf>
    <xf numFmtId="0" fontId="1" fillId="0" borderId="1" xfId="0" applyFont="1" applyBorder="1" applyAlignment="1">
      <alignment vertical="center"/>
    </xf>
    <xf numFmtId="9" fontId="0" fillId="0" borderId="1" xfId="0" applyNumberFormat="1" applyBorder="1" applyAlignment="1">
      <alignment horizontal="center" vertical="center"/>
    </xf>
    <xf numFmtId="0" fontId="5" fillId="0" borderId="0" xfId="0" applyFont="1"/>
    <xf numFmtId="0" fontId="5" fillId="0" borderId="4" xfId="0" applyFont="1" applyBorder="1"/>
    <xf numFmtId="0" fontId="5" fillId="0" borderId="7" xfId="0" applyFont="1" applyBorder="1"/>
    <xf numFmtId="0" fontId="5" fillId="0" borderId="5" xfId="0" applyFont="1" applyBorder="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horizontal="left" vertical="center" wrapText="1"/>
    </xf>
    <xf numFmtId="0" fontId="5" fillId="5" borderId="7" xfId="0" applyFont="1" applyFill="1" applyBorder="1"/>
    <xf numFmtId="0" fontId="5" fillId="6" borderId="7" xfId="0" applyFont="1" applyFill="1" applyBorder="1"/>
    <xf numFmtId="0" fontId="5" fillId="0" borderId="7" xfId="0" applyFont="1" applyBorder="1" applyAlignment="1">
      <alignment vertical="center"/>
    </xf>
    <xf numFmtId="0" fontId="5" fillId="0" borderId="1" xfId="0" applyFont="1" applyBorder="1"/>
    <xf numFmtId="0" fontId="5" fillId="0" borderId="5" xfId="0" applyFont="1" applyBorder="1"/>
    <xf numFmtId="0" fontId="3" fillId="0" borderId="0" xfId="1"/>
    <xf numFmtId="0" fontId="2" fillId="0" borderId="1" xfId="1" applyFont="1" applyBorder="1" applyAlignment="1">
      <alignment horizontal="center" vertical="center"/>
    </xf>
    <xf numFmtId="0" fontId="2" fillId="0" borderId="1" xfId="1" applyFont="1" applyBorder="1" applyAlignment="1">
      <alignment horizontal="center" vertical="center" wrapText="1"/>
    </xf>
    <xf numFmtId="0" fontId="2" fillId="0" borderId="0" xfId="1" applyFont="1" applyAlignment="1">
      <alignment horizontal="center"/>
    </xf>
    <xf numFmtId="0" fontId="2" fillId="0" borderId="8" xfId="1" applyFont="1" applyBorder="1" applyAlignment="1">
      <alignment horizontal="center" vertical="center"/>
    </xf>
    <xf numFmtId="0" fontId="2" fillId="0" borderId="8" xfId="1" applyFont="1" applyBorder="1" applyAlignment="1">
      <alignment horizontal="center"/>
    </xf>
    <xf numFmtId="0" fontId="3" fillId="0" borderId="10" xfId="1" applyBorder="1" applyAlignment="1">
      <alignment horizontal="center" vertical="center"/>
    </xf>
    <xf numFmtId="0" fontId="3" fillId="0" borderId="10" xfId="1" applyBorder="1" applyAlignment="1">
      <alignment horizontal="left" vertical="center" wrapText="1"/>
    </xf>
    <xf numFmtId="0" fontId="3" fillId="0" borderId="1" xfId="1" applyBorder="1" applyAlignment="1">
      <alignment horizontal="center" vertical="center"/>
    </xf>
    <xf numFmtId="0" fontId="3" fillId="0" borderId="1" xfId="1" applyBorder="1" applyAlignment="1">
      <alignment horizontal="left" vertical="center" wrapText="1"/>
    </xf>
    <xf numFmtId="0" fontId="3" fillId="0" borderId="15" xfId="1" applyBorder="1" applyAlignment="1">
      <alignment horizontal="center" vertical="center"/>
    </xf>
    <xf numFmtId="0" fontId="3" fillId="0" borderId="15" xfId="1" applyBorder="1" applyAlignment="1">
      <alignment horizontal="left" vertical="center" wrapText="1"/>
    </xf>
    <xf numFmtId="0" fontId="3" fillId="0" borderId="1" xfId="1" applyBorder="1" applyAlignment="1">
      <alignment horizontal="left" vertical="center"/>
    </xf>
    <xf numFmtId="0" fontId="3" fillId="0" borderId="15" xfId="1" applyBorder="1" applyAlignment="1">
      <alignment horizontal="left" vertical="center"/>
    </xf>
    <xf numFmtId="0" fontId="3" fillId="0" borderId="10" xfId="1" applyBorder="1" applyAlignment="1">
      <alignment horizontal="left" vertical="center"/>
    </xf>
    <xf numFmtId="0" fontId="3" fillId="0" borderId="10" xfId="1" applyBorder="1" applyAlignment="1">
      <alignment vertical="center"/>
    </xf>
    <xf numFmtId="0" fontId="3" fillId="0" borderId="1" xfId="1" applyBorder="1" applyAlignment="1">
      <alignment vertical="center"/>
    </xf>
    <xf numFmtId="0" fontId="3" fillId="0" borderId="15" xfId="1" applyBorder="1" applyAlignment="1">
      <alignment vertical="center"/>
    </xf>
    <xf numFmtId="0" fontId="1" fillId="0" borderId="1" xfId="0" applyFont="1" applyBorder="1" applyAlignment="1">
      <alignment horizontal="right" vertical="center"/>
    </xf>
    <xf numFmtId="0" fontId="0" fillId="0" borderId="0" xfId="0" applyAlignment="1">
      <alignment vertical="center"/>
    </xf>
    <xf numFmtId="0" fontId="2" fillId="0" borderId="10" xfId="1" applyFont="1" applyBorder="1" applyAlignment="1">
      <alignment horizontal="center" vertical="center" wrapText="1"/>
    </xf>
    <xf numFmtId="0" fontId="2" fillId="0" borderId="15" xfId="1" applyFont="1" applyBorder="1" applyAlignment="1">
      <alignment horizontal="center" vertical="center" wrapText="1"/>
    </xf>
    <xf numFmtId="0" fontId="0" fillId="0" borderId="0" xfId="0" applyAlignment="1">
      <alignment horizontal="center" wrapText="1"/>
    </xf>
    <xf numFmtId="0" fontId="0" fillId="0" borderId="0" xfId="0" applyAlignment="1">
      <alignment wrapText="1"/>
    </xf>
    <xf numFmtId="0" fontId="2" fillId="7" borderId="1" xfId="0" applyFont="1" applyFill="1" applyBorder="1" applyAlignment="1">
      <alignment horizontal="center" vertical="center" wrapText="1"/>
    </xf>
    <xf numFmtId="0" fontId="0" fillId="0" borderId="1" xfId="0" applyBorder="1" applyAlignment="1">
      <alignment wrapText="1"/>
    </xf>
    <xf numFmtId="0" fontId="0" fillId="0" borderId="0" xfId="0" applyAlignment="1">
      <alignment vertical="center" wrapText="1"/>
    </xf>
    <xf numFmtId="0" fontId="2" fillId="7" borderId="1" xfId="0" applyFont="1" applyFill="1" applyBorder="1" applyAlignment="1">
      <alignment vertical="center" wrapText="1"/>
    </xf>
    <xf numFmtId="0" fontId="2" fillId="0" borderId="2" xfId="0" applyFont="1" applyBorder="1" applyAlignment="1">
      <alignment horizontal="center" vertical="center"/>
    </xf>
    <xf numFmtId="0" fontId="0" fillId="4" borderId="2" xfId="0" applyFill="1" applyBorder="1" applyAlignment="1">
      <alignment horizontal="center" vertical="center"/>
    </xf>
    <xf numFmtId="1" fontId="0" fillId="0" borderId="12" xfId="0" applyNumberFormat="1" applyBorder="1" applyAlignment="1">
      <alignment horizontal="center" vertical="center"/>
    </xf>
    <xf numFmtId="0" fontId="0" fillId="0" borderId="25" xfId="0" applyBorder="1" applyAlignment="1">
      <alignment horizontal="center" vertical="center"/>
    </xf>
    <xf numFmtId="0" fontId="0" fillId="0" borderId="12" xfId="0" applyBorder="1" applyAlignment="1">
      <alignment horizontal="center" vertical="center"/>
    </xf>
    <xf numFmtId="0" fontId="2" fillId="0" borderId="29" xfId="0" applyFont="1" applyBorder="1" applyAlignment="1">
      <alignment horizontal="center" vertical="center"/>
    </xf>
    <xf numFmtId="1" fontId="2" fillId="0" borderId="5" xfId="0" applyNumberFormat="1" applyFont="1" applyBorder="1" applyAlignment="1">
      <alignment horizontal="center" vertical="center"/>
    </xf>
    <xf numFmtId="0" fontId="2" fillId="0" borderId="5" xfId="0" applyFont="1" applyBorder="1" applyAlignment="1">
      <alignment horizontal="center" vertical="center"/>
    </xf>
    <xf numFmtId="1" fontId="2" fillId="0" borderId="30" xfId="0" applyNumberFormat="1" applyFont="1" applyBorder="1" applyAlignment="1">
      <alignment horizontal="center" vertical="center"/>
    </xf>
    <xf numFmtId="1" fontId="2" fillId="0" borderId="29" xfId="0" applyNumberFormat="1" applyFont="1" applyBorder="1" applyAlignment="1">
      <alignment horizontal="center" vertical="center"/>
    </xf>
    <xf numFmtId="1" fontId="0" fillId="0" borderId="25" xfId="0" applyNumberFormat="1" applyBorder="1" applyAlignment="1">
      <alignment horizontal="center" vertical="center"/>
    </xf>
    <xf numFmtId="0" fontId="2" fillId="0" borderId="30" xfId="0" applyFont="1" applyBorder="1" applyAlignment="1">
      <alignment horizontal="center" vertical="center"/>
    </xf>
    <xf numFmtId="9" fontId="0" fillId="0" borderId="12" xfId="0" applyNumberFormat="1" applyBorder="1" applyAlignment="1">
      <alignment horizontal="center" vertical="center"/>
    </xf>
    <xf numFmtId="9" fontId="0" fillId="0" borderId="25" xfId="0" applyNumberFormat="1" applyBorder="1" applyAlignment="1">
      <alignment horizontal="center" vertical="center"/>
    </xf>
    <xf numFmtId="0" fontId="1" fillId="2" borderId="1" xfId="0" applyFont="1" applyFill="1" applyBorder="1" applyAlignment="1" applyProtection="1">
      <alignment horizontal="left" vertical="center" wrapText="1"/>
      <protection locked="0"/>
    </xf>
    <xf numFmtId="0" fontId="1" fillId="8" borderId="1" xfId="0" applyFont="1" applyFill="1" applyBorder="1" applyAlignment="1" applyProtection="1">
      <alignment horizontal="left" vertical="center" wrapText="1"/>
      <protection locked="0"/>
    </xf>
    <xf numFmtId="0" fontId="8" fillId="2" borderId="1" xfId="0" applyFont="1" applyFill="1" applyBorder="1" applyAlignment="1" applyProtection="1">
      <alignment horizontal="center" vertical="center" wrapText="1"/>
      <protection locked="0"/>
    </xf>
    <xf numFmtId="0" fontId="3" fillId="0" borderId="10" xfId="1" applyBorder="1" applyAlignment="1">
      <alignment horizontal="center" vertical="center"/>
    </xf>
    <xf numFmtId="0" fontId="3" fillId="0" borderId="1" xfId="1" applyBorder="1" applyAlignment="1">
      <alignment horizontal="center" vertical="center"/>
    </xf>
    <xf numFmtId="0" fontId="2" fillId="0" borderId="1" xfId="1" applyFont="1" applyBorder="1" applyAlignment="1">
      <alignment horizontal="center"/>
    </xf>
    <xf numFmtId="0" fontId="2" fillId="0" borderId="1" xfId="1" applyFont="1" applyBorder="1" applyAlignment="1">
      <alignment horizontal="center" vertical="center"/>
    </xf>
    <xf numFmtId="0" fontId="2" fillId="0" borderId="8" xfId="1" applyFont="1" applyBorder="1" applyAlignment="1">
      <alignment horizontal="center" vertical="center"/>
    </xf>
    <xf numFmtId="0" fontId="2" fillId="0" borderId="1" xfId="1" applyFont="1" applyBorder="1" applyAlignment="1">
      <alignment horizontal="center" vertical="center" wrapText="1"/>
    </xf>
    <xf numFmtId="0" fontId="2" fillId="0" borderId="8" xfId="1" applyFont="1" applyBorder="1" applyAlignment="1">
      <alignment horizontal="center" vertical="center" wrapText="1"/>
    </xf>
    <xf numFmtId="0" fontId="3" fillId="0" borderId="9" xfId="1" applyBorder="1" applyAlignment="1">
      <alignment horizontal="center" vertical="center"/>
    </xf>
    <xf numFmtId="0" fontId="3" fillId="0" borderId="12" xfId="1" applyBorder="1" applyAlignment="1">
      <alignment horizontal="center" vertical="center"/>
    </xf>
    <xf numFmtId="0" fontId="3" fillId="0" borderId="14" xfId="1" applyBorder="1" applyAlignment="1">
      <alignment horizontal="center" vertical="center"/>
    </xf>
    <xf numFmtId="0" fontId="3" fillId="0" borderId="15" xfId="1" applyBorder="1" applyAlignment="1">
      <alignment horizontal="center" vertical="center"/>
    </xf>
    <xf numFmtId="0" fontId="3" fillId="0" borderId="11" xfId="1" applyBorder="1" applyAlignment="1">
      <alignment horizontal="left" wrapText="1"/>
    </xf>
    <xf numFmtId="0" fontId="3" fillId="0" borderId="13" xfId="1" applyBorder="1" applyAlignment="1">
      <alignment horizontal="left" wrapText="1"/>
    </xf>
    <xf numFmtId="0" fontId="3" fillId="0" borderId="16" xfId="1" applyBorder="1" applyAlignment="1">
      <alignment horizontal="left" wrapText="1"/>
    </xf>
    <xf numFmtId="0" fontId="3" fillId="0" borderId="17" xfId="1" applyBorder="1" applyAlignment="1">
      <alignment horizontal="center" vertical="center"/>
    </xf>
    <xf numFmtId="0" fontId="3" fillId="0" borderId="19" xfId="1" applyBorder="1" applyAlignment="1">
      <alignment horizontal="center" vertical="center"/>
    </xf>
    <xf numFmtId="0" fontId="3" fillId="0" borderId="20" xfId="1" applyBorder="1" applyAlignment="1">
      <alignment horizontal="center" vertical="center"/>
    </xf>
    <xf numFmtId="0" fontId="3" fillId="0" borderId="18" xfId="1" applyBorder="1" applyAlignment="1">
      <alignment horizontal="center" vertical="center"/>
    </xf>
    <xf numFmtId="0" fontId="3" fillId="0" borderId="6" xfId="1" applyBorder="1" applyAlignment="1">
      <alignment horizontal="center" vertical="center"/>
    </xf>
    <xf numFmtId="0" fontId="3" fillId="0" borderId="21" xfId="1" applyBorder="1" applyAlignment="1">
      <alignment horizontal="center" vertical="center"/>
    </xf>
    <xf numFmtId="0" fontId="3" fillId="0" borderId="11" xfId="1" applyBorder="1" applyAlignment="1">
      <alignment horizontal="left" vertical="center" wrapText="1"/>
    </xf>
    <xf numFmtId="0" fontId="3" fillId="0" borderId="13" xfId="1" applyBorder="1" applyAlignment="1">
      <alignment horizontal="left" vertical="center" wrapText="1"/>
    </xf>
    <xf numFmtId="0" fontId="3" fillId="0" borderId="16" xfId="1" applyBorder="1" applyAlignment="1">
      <alignment horizontal="left" vertical="center" wrapText="1"/>
    </xf>
    <xf numFmtId="0" fontId="3" fillId="0" borderId="18" xfId="1" applyBorder="1" applyAlignment="1">
      <alignment horizontal="center" vertical="center" wrapText="1"/>
    </xf>
    <xf numFmtId="0" fontId="3" fillId="0" borderId="6" xfId="1" applyBorder="1" applyAlignment="1">
      <alignment horizontal="center" vertical="center" wrapText="1"/>
    </xf>
    <xf numFmtId="0" fontId="3" fillId="0" borderId="21" xfId="1" applyBorder="1" applyAlignment="1">
      <alignment horizontal="center" vertical="center" wrapText="1"/>
    </xf>
    <xf numFmtId="0" fontId="3" fillId="0" borderId="11" xfId="1" applyBorder="1" applyAlignment="1">
      <alignment horizontal="left" vertical="center"/>
    </xf>
    <xf numFmtId="0" fontId="3" fillId="0" borderId="13" xfId="1" applyBorder="1" applyAlignment="1">
      <alignment horizontal="left" vertical="center"/>
    </xf>
    <xf numFmtId="0" fontId="3" fillId="0" borderId="16" xfId="1" applyBorder="1" applyAlignment="1">
      <alignment horizontal="left"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wrapText="1"/>
    </xf>
    <xf numFmtId="0" fontId="4"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8" fillId="2" borderId="8" xfId="0" applyFont="1" applyFill="1" applyBorder="1" applyAlignment="1" applyProtection="1">
      <alignment horizontal="center" vertical="center" wrapText="1"/>
      <protection locked="0"/>
    </xf>
    <xf numFmtId="0" fontId="8" fillId="2" borderId="5" xfId="0" applyFont="1" applyFill="1" applyBorder="1" applyAlignment="1" applyProtection="1">
      <alignment horizontal="center" vertical="center" wrapText="1"/>
      <protection locked="0"/>
    </xf>
    <xf numFmtId="0" fontId="1" fillId="2" borderId="0" xfId="0" applyFont="1" applyFill="1" applyAlignment="1" applyProtection="1">
      <alignment horizontal="center" vertical="center" wrapText="1"/>
      <protection locked="0"/>
    </xf>
    <xf numFmtId="0" fontId="1" fillId="2" borderId="24" xfId="0" applyFont="1" applyFill="1" applyBorder="1" applyAlignment="1" applyProtection="1">
      <alignment horizontal="center" vertical="center" wrapText="1"/>
      <protection locked="0"/>
    </xf>
    <xf numFmtId="0" fontId="1" fillId="2" borderId="22" xfId="0" applyFont="1" applyFill="1" applyBorder="1" applyAlignment="1" applyProtection="1">
      <alignment horizontal="center" vertical="center" wrapText="1"/>
      <protection locked="0"/>
    </xf>
    <xf numFmtId="0" fontId="1" fillId="2" borderId="7" xfId="0" applyFont="1" applyFill="1" applyBorder="1" applyAlignment="1" applyProtection="1">
      <alignment horizontal="center" vertical="center" wrapText="1"/>
      <protection locked="0"/>
    </xf>
    <xf numFmtId="0" fontId="1" fillId="2" borderId="2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7" fillId="7"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cellXfs>
  <cellStyles count="2">
    <cellStyle name="Normal" xfId="0" builtinId="0"/>
    <cellStyle name="Normal 2" xfId="1" xr:uid="{1D1471E7-2F5F-2546-9984-D9F4415479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E42DA-E438-1544-A414-A45EBEA0992D}">
  <dimension ref="A1:H26"/>
  <sheetViews>
    <sheetView zoomScale="130" workbookViewId="0">
      <selection activeCell="C19" sqref="C19:C21"/>
    </sheetView>
  </sheetViews>
  <sheetFormatPr baseColWidth="10" defaultRowHeight="16" x14ac:dyDescent="0.2"/>
  <cols>
    <col min="1" max="1" width="5.5" bestFit="1" customWidth="1"/>
    <col min="2" max="2" width="29.1640625" bestFit="1" customWidth="1"/>
    <col min="3" max="3" width="65.33203125" bestFit="1" customWidth="1"/>
    <col min="4" max="4" width="16.33203125" customWidth="1"/>
    <col min="5" max="5" width="11.1640625" bestFit="1" customWidth="1"/>
    <col min="6" max="6" width="12.5" bestFit="1" customWidth="1"/>
    <col min="7" max="7" width="12" bestFit="1" customWidth="1"/>
    <col min="8" max="8" width="108" customWidth="1"/>
  </cols>
  <sheetData>
    <row r="1" spans="1:8" x14ac:dyDescent="0.2">
      <c r="A1" s="73" t="s">
        <v>102</v>
      </c>
      <c r="B1" s="73"/>
      <c r="C1" s="73"/>
      <c r="D1" s="73"/>
      <c r="E1" s="73"/>
      <c r="F1" s="73"/>
      <c r="G1" s="73"/>
      <c r="H1" s="26"/>
    </row>
    <row r="2" spans="1:8" ht="30" customHeight="1" x14ac:dyDescent="0.2">
      <c r="A2" s="74" t="s">
        <v>68</v>
      </c>
      <c r="B2" s="76" t="s">
        <v>103</v>
      </c>
      <c r="C2" s="74" t="s">
        <v>104</v>
      </c>
      <c r="D2" s="27"/>
      <c r="E2" s="73" t="s">
        <v>105</v>
      </c>
      <c r="F2" s="73"/>
      <c r="G2" s="73"/>
      <c r="H2" s="29" t="s">
        <v>106</v>
      </c>
    </row>
    <row r="3" spans="1:8" ht="30" customHeight="1" thickBot="1" x14ac:dyDescent="0.25">
      <c r="A3" s="75"/>
      <c r="B3" s="77"/>
      <c r="C3" s="75"/>
      <c r="D3" s="30" t="s">
        <v>143</v>
      </c>
      <c r="E3" s="31" t="s">
        <v>107</v>
      </c>
      <c r="F3" s="31" t="s">
        <v>108</v>
      </c>
      <c r="G3" s="31" t="s">
        <v>109</v>
      </c>
      <c r="H3" s="26"/>
    </row>
    <row r="4" spans="1:8" ht="30" customHeight="1" x14ac:dyDescent="0.2">
      <c r="A4" s="78">
        <v>1</v>
      </c>
      <c r="B4" s="71" t="s">
        <v>110</v>
      </c>
      <c r="C4" s="33" t="s">
        <v>111</v>
      </c>
      <c r="D4" s="46" t="s">
        <v>142</v>
      </c>
      <c r="E4" s="71" t="s">
        <v>112</v>
      </c>
      <c r="F4" s="71" t="s">
        <v>113</v>
      </c>
      <c r="G4" s="71" t="s">
        <v>114</v>
      </c>
      <c r="H4" s="82" t="s">
        <v>115</v>
      </c>
    </row>
    <row r="5" spans="1:8" ht="30" customHeight="1" x14ac:dyDescent="0.2">
      <c r="A5" s="79"/>
      <c r="B5" s="72"/>
      <c r="C5" s="35" t="s">
        <v>116</v>
      </c>
      <c r="D5" s="28" t="s">
        <v>144</v>
      </c>
      <c r="E5" s="72"/>
      <c r="F5" s="72"/>
      <c r="G5" s="72"/>
      <c r="H5" s="83"/>
    </row>
    <row r="6" spans="1:8" ht="30" customHeight="1" x14ac:dyDescent="0.2">
      <c r="A6" s="79"/>
      <c r="B6" s="72"/>
      <c r="C6" s="35" t="s">
        <v>117</v>
      </c>
      <c r="D6" s="28" t="s">
        <v>145</v>
      </c>
      <c r="E6" s="72"/>
      <c r="F6" s="72"/>
      <c r="G6" s="72"/>
      <c r="H6" s="83"/>
    </row>
    <row r="7" spans="1:8" ht="30" customHeight="1" thickBot="1" x14ac:dyDescent="0.25">
      <c r="A7" s="80"/>
      <c r="B7" s="81"/>
      <c r="C7" s="37" t="s">
        <v>118</v>
      </c>
      <c r="D7" s="47" t="s">
        <v>146</v>
      </c>
      <c r="E7" s="81"/>
      <c r="F7" s="81"/>
      <c r="G7" s="81"/>
      <c r="H7" s="84"/>
    </row>
    <row r="8" spans="1:8" ht="30" customHeight="1" x14ac:dyDescent="0.2">
      <c r="A8" s="85">
        <v>2</v>
      </c>
      <c r="B8" s="94" t="s">
        <v>119</v>
      </c>
      <c r="C8" s="33" t="s">
        <v>4</v>
      </c>
      <c r="D8" s="33"/>
      <c r="E8" s="71" t="s">
        <v>113</v>
      </c>
      <c r="F8" s="71" t="s">
        <v>120</v>
      </c>
      <c r="G8" s="71" t="s">
        <v>121</v>
      </c>
      <c r="H8" s="91" t="s">
        <v>122</v>
      </c>
    </row>
    <row r="9" spans="1:8" ht="30" customHeight="1" x14ac:dyDescent="0.2">
      <c r="A9" s="86"/>
      <c r="B9" s="95"/>
      <c r="C9" s="35" t="s">
        <v>5</v>
      </c>
      <c r="D9" s="35"/>
      <c r="E9" s="72"/>
      <c r="F9" s="72"/>
      <c r="G9" s="72"/>
      <c r="H9" s="92"/>
    </row>
    <row r="10" spans="1:8" ht="30" customHeight="1" x14ac:dyDescent="0.2">
      <c r="A10" s="86"/>
      <c r="B10" s="95"/>
      <c r="C10" s="35" t="s">
        <v>6</v>
      </c>
      <c r="D10" s="35"/>
      <c r="E10" s="72"/>
      <c r="F10" s="72"/>
      <c r="G10" s="72"/>
      <c r="H10" s="92"/>
    </row>
    <row r="11" spans="1:8" ht="30" customHeight="1" x14ac:dyDescent="0.2">
      <c r="A11" s="86"/>
      <c r="B11" s="95"/>
      <c r="C11" s="35" t="s">
        <v>7</v>
      </c>
      <c r="D11" s="35"/>
      <c r="E11" s="72"/>
      <c r="F11" s="72"/>
      <c r="G11" s="72"/>
      <c r="H11" s="92"/>
    </row>
    <row r="12" spans="1:8" ht="30" customHeight="1" x14ac:dyDescent="0.2">
      <c r="A12" s="86"/>
      <c r="B12" s="95"/>
      <c r="C12" s="38" t="s">
        <v>123</v>
      </c>
      <c r="D12" s="38"/>
      <c r="E12" s="72" t="s">
        <v>112</v>
      </c>
      <c r="F12" s="72" t="s">
        <v>124</v>
      </c>
      <c r="G12" s="72" t="s">
        <v>125</v>
      </c>
      <c r="H12" s="92" t="s">
        <v>126</v>
      </c>
    </row>
    <row r="13" spans="1:8" ht="30" customHeight="1" x14ac:dyDescent="0.2">
      <c r="A13" s="86"/>
      <c r="B13" s="95"/>
      <c r="C13" s="38" t="s">
        <v>127</v>
      </c>
      <c r="D13" s="38"/>
      <c r="E13" s="72"/>
      <c r="F13" s="72"/>
      <c r="G13" s="72"/>
      <c r="H13" s="92"/>
    </row>
    <row r="14" spans="1:8" ht="30" customHeight="1" thickBot="1" x14ac:dyDescent="0.25">
      <c r="A14" s="87"/>
      <c r="B14" s="96"/>
      <c r="C14" s="39" t="s">
        <v>128</v>
      </c>
      <c r="D14" s="39"/>
      <c r="E14" s="81"/>
      <c r="F14" s="81"/>
      <c r="G14" s="81"/>
      <c r="H14" s="93"/>
    </row>
    <row r="15" spans="1:8" ht="30" customHeight="1" x14ac:dyDescent="0.2">
      <c r="A15" s="85">
        <v>3</v>
      </c>
      <c r="B15" s="94" t="s">
        <v>129</v>
      </c>
      <c r="C15" s="40" t="s">
        <v>8</v>
      </c>
      <c r="D15" s="40"/>
      <c r="E15" s="71" t="s">
        <v>107</v>
      </c>
      <c r="F15" s="71" t="s">
        <v>108</v>
      </c>
      <c r="G15" s="71" t="s">
        <v>109</v>
      </c>
      <c r="H15" s="97" t="s">
        <v>130</v>
      </c>
    </row>
    <row r="16" spans="1:8" ht="30" customHeight="1" x14ac:dyDescent="0.2">
      <c r="A16" s="86"/>
      <c r="B16" s="95"/>
      <c r="C16" s="38" t="s">
        <v>9</v>
      </c>
      <c r="D16" s="38"/>
      <c r="E16" s="72"/>
      <c r="F16" s="72"/>
      <c r="G16" s="72"/>
      <c r="H16" s="98"/>
    </row>
    <row r="17" spans="1:8" ht="30" customHeight="1" x14ac:dyDescent="0.2">
      <c r="A17" s="86"/>
      <c r="B17" s="95"/>
      <c r="C17" s="38" t="s">
        <v>18</v>
      </c>
      <c r="D17" s="38"/>
      <c r="E17" s="72" t="s">
        <v>107</v>
      </c>
      <c r="F17" s="72" t="s">
        <v>113</v>
      </c>
      <c r="G17" s="72" t="s">
        <v>109</v>
      </c>
      <c r="H17" s="98" t="s">
        <v>131</v>
      </c>
    </row>
    <row r="18" spans="1:8" ht="30" customHeight="1" thickBot="1" x14ac:dyDescent="0.25">
      <c r="A18" s="87"/>
      <c r="B18" s="96"/>
      <c r="C18" s="39" t="s">
        <v>19</v>
      </c>
      <c r="D18" s="39"/>
      <c r="E18" s="81"/>
      <c r="F18" s="81"/>
      <c r="G18" s="81"/>
      <c r="H18" s="99"/>
    </row>
    <row r="19" spans="1:8" ht="30" customHeight="1" x14ac:dyDescent="0.2">
      <c r="A19" s="85">
        <v>4</v>
      </c>
      <c r="B19" s="88" t="s">
        <v>132</v>
      </c>
      <c r="C19" s="41" t="s">
        <v>10</v>
      </c>
      <c r="D19" s="41"/>
      <c r="E19" s="32" t="s">
        <v>133</v>
      </c>
      <c r="F19" s="32" t="s">
        <v>134</v>
      </c>
      <c r="G19" s="32" t="s">
        <v>135</v>
      </c>
      <c r="H19" s="91" t="s">
        <v>136</v>
      </c>
    </row>
    <row r="20" spans="1:8" ht="30" customHeight="1" x14ac:dyDescent="0.2">
      <c r="A20" s="86"/>
      <c r="B20" s="89"/>
      <c r="C20" s="42" t="s">
        <v>11</v>
      </c>
      <c r="D20" s="42"/>
      <c r="E20" s="34" t="s">
        <v>137</v>
      </c>
      <c r="F20" s="34" t="s">
        <v>138</v>
      </c>
      <c r="G20" s="34" t="s">
        <v>139</v>
      </c>
      <c r="H20" s="92"/>
    </row>
    <row r="21" spans="1:8" ht="30" customHeight="1" x14ac:dyDescent="0.2">
      <c r="A21" s="86"/>
      <c r="B21" s="89"/>
      <c r="C21" s="42" t="s">
        <v>12</v>
      </c>
      <c r="D21" s="42"/>
      <c r="E21" s="34" t="s">
        <v>137</v>
      </c>
      <c r="F21" s="34" t="s">
        <v>138</v>
      </c>
      <c r="G21" s="34" t="s">
        <v>139</v>
      </c>
      <c r="H21" s="92"/>
    </row>
    <row r="22" spans="1:8" ht="30" customHeight="1" x14ac:dyDescent="0.2">
      <c r="A22" s="86"/>
      <c r="B22" s="89"/>
      <c r="C22" s="42" t="s">
        <v>13</v>
      </c>
      <c r="D22" s="42"/>
      <c r="E22" s="34" t="s">
        <v>133</v>
      </c>
      <c r="F22" s="34" t="s">
        <v>134</v>
      </c>
      <c r="G22" s="34" t="s">
        <v>135</v>
      </c>
      <c r="H22" s="92"/>
    </row>
    <row r="23" spans="1:8" ht="30" customHeight="1" x14ac:dyDescent="0.2">
      <c r="A23" s="86"/>
      <c r="B23" s="89"/>
      <c r="C23" s="42" t="s">
        <v>14</v>
      </c>
      <c r="D23" s="42"/>
      <c r="E23" s="34" t="s">
        <v>137</v>
      </c>
      <c r="F23" s="34" t="s">
        <v>138</v>
      </c>
      <c r="G23" s="34" t="s">
        <v>139</v>
      </c>
      <c r="H23" s="92"/>
    </row>
    <row r="24" spans="1:8" ht="30" customHeight="1" x14ac:dyDescent="0.2">
      <c r="A24" s="86"/>
      <c r="B24" s="89"/>
      <c r="C24" s="42" t="s">
        <v>15</v>
      </c>
      <c r="D24" s="42"/>
      <c r="E24" s="34" t="s">
        <v>137</v>
      </c>
      <c r="F24" s="34" t="s">
        <v>138</v>
      </c>
      <c r="G24" s="34" t="s">
        <v>139</v>
      </c>
      <c r="H24" s="92"/>
    </row>
    <row r="25" spans="1:8" ht="30" customHeight="1" x14ac:dyDescent="0.2">
      <c r="A25" s="86"/>
      <c r="B25" s="89"/>
      <c r="C25" s="42" t="s">
        <v>16</v>
      </c>
      <c r="D25" s="42"/>
      <c r="E25" s="34" t="s">
        <v>137</v>
      </c>
      <c r="F25" s="34" t="s">
        <v>140</v>
      </c>
      <c r="G25" s="34" t="s">
        <v>141</v>
      </c>
      <c r="H25" s="92"/>
    </row>
    <row r="26" spans="1:8" ht="30" customHeight="1" thickBot="1" x14ac:dyDescent="0.25">
      <c r="A26" s="87"/>
      <c r="B26" s="90"/>
      <c r="C26" s="43" t="s">
        <v>17</v>
      </c>
      <c r="D26" s="43"/>
      <c r="E26" s="36" t="s">
        <v>137</v>
      </c>
      <c r="F26" s="36" t="s">
        <v>140</v>
      </c>
      <c r="G26" s="36" t="s">
        <v>141</v>
      </c>
      <c r="H26" s="93"/>
    </row>
  </sheetData>
  <mergeCells count="34">
    <mergeCell ref="H15:H16"/>
    <mergeCell ref="E17:E18"/>
    <mergeCell ref="F17:F18"/>
    <mergeCell ref="G17:G18"/>
    <mergeCell ref="H17:H18"/>
    <mergeCell ref="H4:H7"/>
    <mergeCell ref="A19:A26"/>
    <mergeCell ref="B19:B26"/>
    <mergeCell ref="H19:H26"/>
    <mergeCell ref="H8:H11"/>
    <mergeCell ref="E12:E14"/>
    <mergeCell ref="F12:F14"/>
    <mergeCell ref="G12:G14"/>
    <mergeCell ref="H12:H14"/>
    <mergeCell ref="A15:A18"/>
    <mergeCell ref="B15:B18"/>
    <mergeCell ref="E15:E16"/>
    <mergeCell ref="F15:F16"/>
    <mergeCell ref="G15:G16"/>
    <mergeCell ref="A8:A14"/>
    <mergeCell ref="B8:B14"/>
    <mergeCell ref="F8:F11"/>
    <mergeCell ref="G8:G11"/>
    <mergeCell ref="A1:G1"/>
    <mergeCell ref="A2:A3"/>
    <mergeCell ref="B2:B3"/>
    <mergeCell ref="C2:C3"/>
    <mergeCell ref="E2:G2"/>
    <mergeCell ref="A4:A7"/>
    <mergeCell ref="B4:B7"/>
    <mergeCell ref="E4:E7"/>
    <mergeCell ref="F4:F7"/>
    <mergeCell ref="G4:G7"/>
    <mergeCell ref="E8: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195B1-BC70-BA45-9A57-0779B502130D}">
  <dimension ref="A1:D25"/>
  <sheetViews>
    <sheetView topLeftCell="B3" zoomScale="214" workbookViewId="0">
      <selection activeCell="B5" sqref="B5"/>
    </sheetView>
  </sheetViews>
  <sheetFormatPr baseColWidth="10" defaultRowHeight="16" x14ac:dyDescent="0.2"/>
  <cols>
    <col min="2" max="2" width="17.5" bestFit="1" customWidth="1"/>
    <col min="3" max="3" width="118" customWidth="1"/>
  </cols>
  <sheetData>
    <row r="1" spans="1:4" x14ac:dyDescent="0.2">
      <c r="A1" s="100" t="s">
        <v>67</v>
      </c>
      <c r="B1" s="101"/>
      <c r="C1" s="102"/>
      <c r="D1" s="15"/>
    </row>
    <row r="2" spans="1:4" x14ac:dyDescent="0.2">
      <c r="A2" s="103" t="s">
        <v>68</v>
      </c>
      <c r="B2" s="105" t="s">
        <v>69</v>
      </c>
      <c r="C2" s="103" t="s">
        <v>70</v>
      </c>
      <c r="D2" s="16" t="s">
        <v>71</v>
      </c>
    </row>
    <row r="3" spans="1:4" x14ac:dyDescent="0.2">
      <c r="A3" s="104"/>
      <c r="B3" s="106"/>
      <c r="C3" s="104"/>
      <c r="D3" s="17"/>
    </row>
    <row r="4" spans="1:4" ht="17" x14ac:dyDescent="0.2">
      <c r="A4" s="18">
        <v>1</v>
      </c>
      <c r="B4" s="19" t="s">
        <v>72</v>
      </c>
      <c r="C4" s="20" t="s">
        <v>73</v>
      </c>
      <c r="D4" s="21"/>
    </row>
    <row r="5" spans="1:4" ht="17" x14ac:dyDescent="0.2">
      <c r="A5" s="18">
        <v>2</v>
      </c>
      <c r="B5" s="19" t="s">
        <v>74</v>
      </c>
      <c r="C5" s="20" t="s">
        <v>75</v>
      </c>
      <c r="D5" s="21"/>
    </row>
    <row r="6" spans="1:4" ht="17" x14ac:dyDescent="0.2">
      <c r="A6" s="18">
        <v>3</v>
      </c>
      <c r="B6" s="19" t="s">
        <v>76</v>
      </c>
      <c r="C6" s="20" t="s">
        <v>77</v>
      </c>
      <c r="D6" s="22"/>
    </row>
    <row r="7" spans="1:4" ht="17" x14ac:dyDescent="0.2">
      <c r="A7" s="18">
        <v>4</v>
      </c>
      <c r="B7" s="19" t="s">
        <v>78</v>
      </c>
      <c r="C7" s="20" t="s">
        <v>79</v>
      </c>
      <c r="D7" s="22"/>
    </row>
    <row r="8" spans="1:4" ht="17" x14ac:dyDescent="0.2">
      <c r="A8" s="18"/>
      <c r="B8" s="19" t="s">
        <v>53</v>
      </c>
      <c r="C8" s="20" t="s">
        <v>80</v>
      </c>
      <c r="D8" s="22"/>
    </row>
    <row r="9" spans="1:4" ht="17" x14ac:dyDescent="0.2">
      <c r="A9" s="18"/>
      <c r="B9" s="19" t="s">
        <v>54</v>
      </c>
      <c r="C9" s="20" t="s">
        <v>81</v>
      </c>
      <c r="D9" s="22"/>
    </row>
    <row r="10" spans="1:4" ht="17" x14ac:dyDescent="0.2">
      <c r="A10" s="18"/>
      <c r="B10" s="19"/>
      <c r="C10" s="20" t="s">
        <v>82</v>
      </c>
      <c r="D10" s="22"/>
    </row>
    <row r="11" spans="1:4" ht="17" x14ac:dyDescent="0.2">
      <c r="A11" s="18"/>
      <c r="B11" s="19"/>
      <c r="C11" s="20" t="s">
        <v>83</v>
      </c>
      <c r="D11" s="22"/>
    </row>
    <row r="12" spans="1:4" x14ac:dyDescent="0.2">
      <c r="A12" s="18">
        <v>5</v>
      </c>
      <c r="B12" s="19" t="s">
        <v>84</v>
      </c>
      <c r="C12" s="23" t="s">
        <v>85</v>
      </c>
      <c r="D12" s="22"/>
    </row>
    <row r="13" spans="1:4" x14ac:dyDescent="0.2">
      <c r="A13" s="18">
        <v>6</v>
      </c>
      <c r="B13" s="19" t="s">
        <v>86</v>
      </c>
      <c r="C13" s="23" t="s">
        <v>87</v>
      </c>
      <c r="D13" s="22"/>
    </row>
    <row r="14" spans="1:4" x14ac:dyDescent="0.2">
      <c r="A14" s="18"/>
      <c r="B14" s="19"/>
      <c r="C14" s="23" t="s">
        <v>88</v>
      </c>
      <c r="D14" s="22"/>
    </row>
    <row r="15" spans="1:4" x14ac:dyDescent="0.2">
      <c r="A15" s="18"/>
      <c r="B15" s="19"/>
      <c r="C15" s="23" t="s">
        <v>89</v>
      </c>
      <c r="D15" s="22"/>
    </row>
    <row r="16" spans="1:4" x14ac:dyDescent="0.2">
      <c r="A16" s="18"/>
      <c r="B16" s="19"/>
      <c r="C16" s="23" t="s">
        <v>90</v>
      </c>
      <c r="D16" s="22"/>
    </row>
    <row r="17" spans="1:4" x14ac:dyDescent="0.2">
      <c r="A17" s="18">
        <v>7</v>
      </c>
      <c r="B17" s="19" t="s">
        <v>91</v>
      </c>
      <c r="C17" s="23" t="s">
        <v>92</v>
      </c>
      <c r="D17" s="22"/>
    </row>
    <row r="18" spans="1:4" x14ac:dyDescent="0.2">
      <c r="A18" s="18">
        <v>8</v>
      </c>
      <c r="B18" s="19" t="s">
        <v>93</v>
      </c>
      <c r="C18" s="23" t="s">
        <v>94</v>
      </c>
      <c r="D18" s="22"/>
    </row>
    <row r="19" spans="1:4" x14ac:dyDescent="0.2">
      <c r="A19" s="15"/>
      <c r="B19" s="15"/>
      <c r="C19" s="15"/>
      <c r="D19" s="15"/>
    </row>
    <row r="20" spans="1:4" x14ac:dyDescent="0.2">
      <c r="A20" s="15"/>
      <c r="B20" s="24" t="s">
        <v>95</v>
      </c>
      <c r="C20" s="107" t="s">
        <v>96</v>
      </c>
      <c r="D20" s="15"/>
    </row>
    <row r="21" spans="1:4" x14ac:dyDescent="0.2">
      <c r="A21" s="15"/>
      <c r="B21" s="25" t="s">
        <v>97</v>
      </c>
      <c r="C21" s="108"/>
      <c r="D21" s="15"/>
    </row>
    <row r="22" spans="1:4" x14ac:dyDescent="0.2">
      <c r="A22" s="15"/>
      <c r="B22" s="25" t="s">
        <v>98</v>
      </c>
      <c r="C22" s="108"/>
      <c r="D22" s="15"/>
    </row>
    <row r="23" spans="1:4" x14ac:dyDescent="0.2">
      <c r="A23" s="15"/>
      <c r="B23" s="25" t="s">
        <v>99</v>
      </c>
      <c r="C23" s="108"/>
      <c r="D23" s="15"/>
    </row>
    <row r="24" spans="1:4" x14ac:dyDescent="0.2">
      <c r="A24" s="15"/>
      <c r="B24" s="25" t="s">
        <v>100</v>
      </c>
      <c r="C24" s="108"/>
      <c r="D24" s="15"/>
    </row>
    <row r="25" spans="1:4" x14ac:dyDescent="0.2">
      <c r="A25" s="15"/>
      <c r="B25" s="25" t="s">
        <v>101</v>
      </c>
      <c r="C25" s="109"/>
      <c r="D25" s="15"/>
    </row>
  </sheetData>
  <mergeCells count="5">
    <mergeCell ref="A1:C1"/>
    <mergeCell ref="A2:A3"/>
    <mergeCell ref="B2:B3"/>
    <mergeCell ref="C2:C3"/>
    <mergeCell ref="C20:C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4"/>
  <sheetViews>
    <sheetView tabSelected="1" zoomScale="88" zoomScaleNormal="110" workbookViewId="0"/>
  </sheetViews>
  <sheetFormatPr baseColWidth="10" defaultColWidth="11" defaultRowHeight="16" x14ac:dyDescent="0.2"/>
  <cols>
    <col min="1" max="1" width="12.5" customWidth="1"/>
  </cols>
  <sheetData>
    <row r="1" spans="1:22" x14ac:dyDescent="0.2">
      <c r="A1" s="9" t="s">
        <v>0</v>
      </c>
      <c r="B1" s="2">
        <v>0.75</v>
      </c>
      <c r="C1" s="2">
        <v>0</v>
      </c>
      <c r="D1" s="2">
        <v>0</v>
      </c>
      <c r="E1" s="2">
        <v>0</v>
      </c>
      <c r="F1" s="2">
        <v>0</v>
      </c>
      <c r="G1" s="2">
        <v>0.6</v>
      </c>
      <c r="H1" s="2">
        <v>0.6</v>
      </c>
      <c r="I1" s="2">
        <v>0.6</v>
      </c>
      <c r="J1" s="2">
        <v>0.1</v>
      </c>
      <c r="K1" s="2">
        <v>0.1</v>
      </c>
      <c r="L1" s="2">
        <v>0.6</v>
      </c>
      <c r="M1" s="2">
        <v>0.1</v>
      </c>
      <c r="N1" s="2">
        <v>0.1</v>
      </c>
      <c r="O1" s="2">
        <v>0.1</v>
      </c>
      <c r="P1" s="2">
        <v>0.1</v>
      </c>
      <c r="Q1" s="2">
        <v>0.75</v>
      </c>
      <c r="R1" s="2">
        <v>0.75</v>
      </c>
      <c r="S1" s="2">
        <v>0.25</v>
      </c>
      <c r="T1" s="2">
        <v>0.25</v>
      </c>
    </row>
    <row r="2" spans="1:22" x14ac:dyDescent="0.2">
      <c r="A2" s="7" t="s">
        <v>1</v>
      </c>
      <c r="B2" s="1">
        <v>1.25</v>
      </c>
      <c r="C2" s="1">
        <v>0.5</v>
      </c>
      <c r="D2" s="1">
        <v>0.5</v>
      </c>
      <c r="E2" s="1">
        <v>0.5</v>
      </c>
      <c r="F2" s="1">
        <v>0.5</v>
      </c>
      <c r="G2" s="1">
        <v>1.4</v>
      </c>
      <c r="H2" s="1">
        <v>1.4</v>
      </c>
      <c r="I2" s="1">
        <v>0.9</v>
      </c>
      <c r="J2" s="1">
        <v>0.4</v>
      </c>
      <c r="K2" s="1">
        <v>0.4</v>
      </c>
      <c r="L2" s="1">
        <v>0.9</v>
      </c>
      <c r="M2" s="1">
        <v>0.4</v>
      </c>
      <c r="N2" s="1">
        <v>0.4</v>
      </c>
      <c r="O2" s="1">
        <v>0.3</v>
      </c>
      <c r="P2" s="1">
        <v>0.3</v>
      </c>
      <c r="Q2" s="1">
        <v>1.25</v>
      </c>
      <c r="R2" s="1">
        <v>1.25</v>
      </c>
      <c r="S2" s="1">
        <v>1</v>
      </c>
      <c r="T2" s="1">
        <v>1</v>
      </c>
    </row>
    <row r="3" spans="1:22" x14ac:dyDescent="0.2">
      <c r="A3" s="7" t="s">
        <v>2</v>
      </c>
      <c r="B3" s="1">
        <v>2</v>
      </c>
      <c r="C3" s="1">
        <v>2</v>
      </c>
      <c r="D3" s="1">
        <v>2</v>
      </c>
      <c r="E3" s="1">
        <v>2</v>
      </c>
      <c r="F3" s="1">
        <v>2</v>
      </c>
      <c r="G3" s="1">
        <v>2</v>
      </c>
      <c r="H3" s="1">
        <v>2</v>
      </c>
      <c r="I3" s="1">
        <v>2</v>
      </c>
      <c r="J3" s="1">
        <v>2</v>
      </c>
      <c r="K3" s="1">
        <v>2</v>
      </c>
      <c r="L3" s="1">
        <v>2</v>
      </c>
      <c r="M3" s="1">
        <v>2</v>
      </c>
      <c r="N3" s="1">
        <v>2</v>
      </c>
      <c r="O3" s="1">
        <v>2</v>
      </c>
      <c r="P3" s="1">
        <v>2</v>
      </c>
      <c r="Q3" s="1">
        <v>2</v>
      </c>
      <c r="R3" s="1">
        <v>2</v>
      </c>
      <c r="S3" s="1">
        <v>2</v>
      </c>
      <c r="T3" s="1">
        <v>2</v>
      </c>
    </row>
    <row r="4" spans="1:22" s="45" customFormat="1" ht="118.5" customHeight="1" x14ac:dyDescent="0.2">
      <c r="A4" s="44" t="s">
        <v>3</v>
      </c>
      <c r="B4" s="3" t="s">
        <v>110</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row>
    <row r="5" spans="1:22" x14ac:dyDescent="0.2">
      <c r="A5" s="8">
        <v>130</v>
      </c>
      <c r="B5" s="10">
        <v>1.1299999999999999</v>
      </c>
      <c r="C5" s="10">
        <v>0.17</v>
      </c>
      <c r="D5" s="10">
        <v>0.31</v>
      </c>
      <c r="E5" s="10">
        <v>0.08</v>
      </c>
      <c r="F5" s="10">
        <v>0.45</v>
      </c>
      <c r="G5" s="10">
        <v>1.0900000000000001</v>
      </c>
      <c r="H5" s="10">
        <v>0.92</v>
      </c>
      <c r="I5" s="10">
        <v>0.85</v>
      </c>
      <c r="J5" s="10">
        <v>0.35</v>
      </c>
      <c r="K5" s="10">
        <v>0.4</v>
      </c>
      <c r="L5" s="10">
        <v>0.82</v>
      </c>
      <c r="M5" s="10">
        <v>0.26</v>
      </c>
      <c r="N5" s="10">
        <v>0.13</v>
      </c>
      <c r="O5" s="10">
        <v>0.28999999999999998</v>
      </c>
      <c r="P5" s="10">
        <v>0.17</v>
      </c>
      <c r="Q5" s="10">
        <v>1.08</v>
      </c>
      <c r="R5" s="10">
        <v>1.08</v>
      </c>
      <c r="S5" s="10">
        <v>0.39</v>
      </c>
      <c r="T5" s="10">
        <v>0.43</v>
      </c>
      <c r="V5">
        <f>1205760*C5</f>
        <v>204979.20000000001</v>
      </c>
    </row>
    <row r="6" spans="1:22" x14ac:dyDescent="0.2">
      <c r="A6" s="8">
        <v>131</v>
      </c>
      <c r="B6" s="10">
        <v>0.8</v>
      </c>
      <c r="C6" s="10">
        <v>0.4</v>
      </c>
      <c r="D6" s="10">
        <v>0.19</v>
      </c>
      <c r="E6" s="10">
        <v>0.41</v>
      </c>
      <c r="F6" s="10">
        <v>0.47</v>
      </c>
      <c r="G6" s="10">
        <v>1.18</v>
      </c>
      <c r="H6" s="10">
        <v>1.37</v>
      </c>
      <c r="I6" s="10">
        <v>0.68</v>
      </c>
      <c r="J6" s="10">
        <v>0.3</v>
      </c>
      <c r="K6" s="10">
        <v>0.2</v>
      </c>
      <c r="L6" s="10">
        <v>0.64</v>
      </c>
      <c r="M6" s="10">
        <v>0.33</v>
      </c>
      <c r="N6" s="10">
        <v>0.32</v>
      </c>
      <c r="O6" s="10">
        <v>0.11</v>
      </c>
      <c r="P6" s="10">
        <v>0.21</v>
      </c>
      <c r="Q6" s="10">
        <v>0.79</v>
      </c>
      <c r="R6" s="10">
        <v>0.89</v>
      </c>
      <c r="S6" s="10">
        <v>0.35</v>
      </c>
      <c r="T6" s="10">
        <v>0.86</v>
      </c>
    </row>
    <row r="7" spans="1:22" x14ac:dyDescent="0.2">
      <c r="A7" s="8">
        <v>132</v>
      </c>
      <c r="B7" s="10">
        <v>0.98</v>
      </c>
      <c r="C7" s="10">
        <v>0.01</v>
      </c>
      <c r="D7" s="10">
        <v>0.38</v>
      </c>
      <c r="E7" s="10">
        <v>0.25</v>
      </c>
      <c r="F7" s="10">
        <v>0.15</v>
      </c>
      <c r="G7" s="10">
        <v>0.83</v>
      </c>
      <c r="H7" s="10">
        <v>1.19</v>
      </c>
      <c r="I7" s="10">
        <v>0.76</v>
      </c>
      <c r="J7" s="10">
        <v>0.11</v>
      </c>
      <c r="K7" s="10">
        <v>0.11</v>
      </c>
      <c r="L7" s="10">
        <v>0.83</v>
      </c>
      <c r="M7" s="10">
        <v>0.3</v>
      </c>
      <c r="N7" s="10">
        <v>0.12</v>
      </c>
      <c r="O7" s="10">
        <v>0.17</v>
      </c>
      <c r="P7" s="10">
        <v>0.23</v>
      </c>
      <c r="Q7" s="10">
        <v>1.1299999999999999</v>
      </c>
      <c r="R7" s="10">
        <v>1.1599999999999999</v>
      </c>
      <c r="S7" s="10">
        <v>0.35</v>
      </c>
      <c r="T7" s="10">
        <v>0.51</v>
      </c>
    </row>
    <row r="8" spans="1:22" x14ac:dyDescent="0.2">
      <c r="A8" s="8">
        <v>133</v>
      </c>
      <c r="B8" s="10">
        <v>1.19</v>
      </c>
      <c r="C8" s="10">
        <v>0.49</v>
      </c>
      <c r="D8" s="10">
        <v>0.21</v>
      </c>
      <c r="E8" s="10">
        <v>0.12</v>
      </c>
      <c r="F8" s="10">
        <v>0.16</v>
      </c>
      <c r="G8" s="10">
        <v>1.38</v>
      </c>
      <c r="H8" s="10">
        <v>0.71</v>
      </c>
      <c r="I8" s="10">
        <v>0.85</v>
      </c>
      <c r="J8" s="10">
        <v>0.22</v>
      </c>
      <c r="K8" s="10">
        <v>0.33</v>
      </c>
      <c r="L8" s="10">
        <v>0.61</v>
      </c>
      <c r="M8" s="10">
        <v>0.15</v>
      </c>
      <c r="N8" s="10">
        <v>0.15</v>
      </c>
      <c r="O8" s="10">
        <v>0.2</v>
      </c>
      <c r="P8" s="10">
        <v>0.28000000000000003</v>
      </c>
      <c r="Q8" s="10">
        <v>0.95</v>
      </c>
      <c r="R8" s="10">
        <v>0.88</v>
      </c>
      <c r="S8" s="10">
        <v>0.49</v>
      </c>
      <c r="T8" s="10">
        <v>0.81</v>
      </c>
    </row>
    <row r="9" spans="1:22" x14ac:dyDescent="0.2">
      <c r="A9" s="8">
        <v>134</v>
      </c>
      <c r="B9" s="10">
        <v>1.04</v>
      </c>
      <c r="C9" s="10">
        <v>0.37</v>
      </c>
      <c r="D9" s="10">
        <v>0.48</v>
      </c>
      <c r="E9" s="10">
        <v>0.31</v>
      </c>
      <c r="F9" s="10">
        <v>0.39</v>
      </c>
      <c r="G9" s="10">
        <v>1.32</v>
      </c>
      <c r="H9" s="10">
        <v>1.1100000000000001</v>
      </c>
      <c r="I9" s="10">
        <v>0.88</v>
      </c>
      <c r="J9" s="10">
        <v>0.13</v>
      </c>
      <c r="K9" s="10">
        <v>0.34</v>
      </c>
      <c r="L9" s="10">
        <v>0.65</v>
      </c>
      <c r="M9" s="10">
        <v>0.14000000000000001</v>
      </c>
      <c r="N9" s="10">
        <v>0.37</v>
      </c>
      <c r="O9" s="10">
        <v>0.15</v>
      </c>
      <c r="P9" s="10">
        <v>0.27</v>
      </c>
      <c r="Q9" s="10">
        <v>0.76</v>
      </c>
      <c r="R9" s="10">
        <v>1.01</v>
      </c>
      <c r="S9" s="10">
        <v>0.71</v>
      </c>
      <c r="T9" s="10">
        <v>0.99</v>
      </c>
    </row>
    <row r="10" spans="1:22" x14ac:dyDescent="0.2">
      <c r="A10" s="8">
        <v>135</v>
      </c>
      <c r="B10" s="10">
        <v>0.87</v>
      </c>
      <c r="C10" s="10">
        <v>0.25</v>
      </c>
      <c r="D10" s="10">
        <v>0.09</v>
      </c>
      <c r="E10" s="10">
        <v>0.11</v>
      </c>
      <c r="F10" s="10">
        <v>0.43</v>
      </c>
      <c r="G10" s="10">
        <v>0.67</v>
      </c>
      <c r="H10" s="10">
        <v>0.82</v>
      </c>
      <c r="I10" s="10">
        <v>0.82</v>
      </c>
      <c r="J10" s="10">
        <v>0.38</v>
      </c>
      <c r="K10" s="10">
        <v>0.36</v>
      </c>
      <c r="L10" s="10">
        <v>0.67</v>
      </c>
      <c r="M10" s="10">
        <v>0.2</v>
      </c>
      <c r="N10" s="10">
        <v>0.15</v>
      </c>
      <c r="O10" s="10">
        <v>0.28999999999999998</v>
      </c>
      <c r="P10" s="10">
        <v>0.17</v>
      </c>
      <c r="Q10" s="10">
        <v>1.18</v>
      </c>
      <c r="R10" s="10">
        <v>0.76</v>
      </c>
      <c r="S10" s="10">
        <v>0.51</v>
      </c>
      <c r="T10" s="10">
        <v>0.31</v>
      </c>
    </row>
    <row r="11" spans="1:22" x14ac:dyDescent="0.2">
      <c r="A11" s="8">
        <v>136</v>
      </c>
      <c r="B11" s="10">
        <v>0.77</v>
      </c>
      <c r="C11" s="10">
        <v>0.3</v>
      </c>
      <c r="D11" s="10">
        <v>0.41</v>
      </c>
      <c r="E11" s="10">
        <v>0.24</v>
      </c>
      <c r="F11" s="10">
        <v>0.48</v>
      </c>
      <c r="G11" s="10">
        <v>1.33</v>
      </c>
      <c r="H11" s="10">
        <v>1.26</v>
      </c>
      <c r="I11" s="10">
        <v>0.62</v>
      </c>
      <c r="J11" s="10">
        <v>0.32</v>
      </c>
      <c r="K11" s="10">
        <v>0.14000000000000001</v>
      </c>
      <c r="L11" s="10">
        <v>0.85</v>
      </c>
      <c r="M11" s="10">
        <v>0.27</v>
      </c>
      <c r="N11" s="10">
        <v>0.2</v>
      </c>
      <c r="O11" s="10">
        <v>0.28000000000000003</v>
      </c>
      <c r="P11" s="10">
        <v>0.25</v>
      </c>
      <c r="Q11" s="10">
        <v>0.88</v>
      </c>
      <c r="R11" s="10">
        <v>1.23</v>
      </c>
      <c r="S11" s="10">
        <v>0.65</v>
      </c>
      <c r="T11" s="10">
        <v>0.57999999999999996</v>
      </c>
    </row>
    <row r="12" spans="1:22" x14ac:dyDescent="0.2">
      <c r="A12" s="8">
        <v>137</v>
      </c>
      <c r="B12" s="10">
        <v>1.0900000000000001</v>
      </c>
      <c r="C12" s="10">
        <v>0.12</v>
      </c>
      <c r="D12" s="10">
        <v>0.05</v>
      </c>
      <c r="E12" s="10">
        <v>0.28000000000000003</v>
      </c>
      <c r="F12" s="10">
        <v>0.12</v>
      </c>
      <c r="G12" s="10">
        <v>0.61</v>
      </c>
      <c r="H12" s="10">
        <v>0.85</v>
      </c>
      <c r="I12" s="10">
        <v>0.88</v>
      </c>
      <c r="J12" s="10">
        <v>0.19</v>
      </c>
      <c r="K12" s="10">
        <v>0.38</v>
      </c>
      <c r="L12" s="10">
        <v>0.89</v>
      </c>
      <c r="M12" s="10">
        <v>0.2</v>
      </c>
      <c r="N12" s="10">
        <v>0.18</v>
      </c>
      <c r="O12" s="10">
        <v>0.19</v>
      </c>
      <c r="P12" s="10">
        <v>0.15</v>
      </c>
      <c r="Q12" s="10">
        <v>1.2</v>
      </c>
      <c r="R12" s="10">
        <v>0.84</v>
      </c>
      <c r="S12" s="10">
        <v>0.77</v>
      </c>
      <c r="T12" s="10">
        <v>0.64</v>
      </c>
    </row>
    <row r="13" spans="1:22" x14ac:dyDescent="0.2">
      <c r="A13" s="8">
        <v>138</v>
      </c>
      <c r="B13" s="10">
        <v>1.24</v>
      </c>
      <c r="C13" s="10">
        <v>0.26</v>
      </c>
      <c r="D13" s="10">
        <v>0.06</v>
      </c>
      <c r="E13" s="10">
        <v>0.14000000000000001</v>
      </c>
      <c r="F13" s="10">
        <v>0.08</v>
      </c>
      <c r="G13" s="10">
        <v>0.98</v>
      </c>
      <c r="H13" s="10">
        <v>0.74</v>
      </c>
      <c r="I13" s="10">
        <v>0.68</v>
      </c>
      <c r="J13" s="10">
        <v>0.4</v>
      </c>
      <c r="K13" s="10">
        <v>0.25</v>
      </c>
      <c r="L13" s="10">
        <v>0.63</v>
      </c>
      <c r="M13" s="10">
        <v>0.23</v>
      </c>
      <c r="N13" s="10">
        <v>0.3</v>
      </c>
      <c r="O13" s="10">
        <v>0.21</v>
      </c>
      <c r="P13" s="10">
        <v>0.19</v>
      </c>
      <c r="Q13" s="10">
        <v>1.0900000000000001</v>
      </c>
      <c r="R13" s="10">
        <v>1.06</v>
      </c>
      <c r="S13" s="10">
        <v>0.62</v>
      </c>
      <c r="T13" s="10">
        <v>0.39</v>
      </c>
    </row>
    <row r="14" spans="1:22" x14ac:dyDescent="0.2">
      <c r="A14" s="8">
        <v>139</v>
      </c>
      <c r="B14" s="10">
        <v>0.8</v>
      </c>
      <c r="C14" s="10">
        <v>0.19</v>
      </c>
      <c r="D14" s="10">
        <v>0.38</v>
      </c>
      <c r="E14" s="10">
        <v>0.19</v>
      </c>
      <c r="F14" s="10">
        <v>0.32</v>
      </c>
      <c r="G14" s="10">
        <v>0.87</v>
      </c>
      <c r="H14" s="10">
        <v>1.34</v>
      </c>
      <c r="I14" s="10">
        <v>0.7</v>
      </c>
      <c r="J14" s="10">
        <v>0.2</v>
      </c>
      <c r="K14" s="10">
        <v>0.23</v>
      </c>
      <c r="L14" s="10">
        <v>0.84</v>
      </c>
      <c r="M14" s="10">
        <v>0.11</v>
      </c>
      <c r="N14" s="10">
        <v>0.25</v>
      </c>
      <c r="O14" s="10">
        <v>0.11</v>
      </c>
      <c r="P14" s="10">
        <v>0.26</v>
      </c>
      <c r="Q14" s="10">
        <v>0.83</v>
      </c>
      <c r="R14" s="10">
        <v>0.92</v>
      </c>
      <c r="S14" s="10">
        <v>0.91</v>
      </c>
      <c r="T14" s="10">
        <v>0.72</v>
      </c>
    </row>
    <row r="15" spans="1:22" x14ac:dyDescent="0.2">
      <c r="A15" s="8">
        <v>140</v>
      </c>
      <c r="B15" s="10">
        <v>0.87</v>
      </c>
      <c r="C15" s="10">
        <v>0.36</v>
      </c>
      <c r="D15" s="10">
        <v>0.45</v>
      </c>
      <c r="E15" s="10">
        <v>0.04</v>
      </c>
      <c r="F15" s="10">
        <v>0.41</v>
      </c>
      <c r="G15" s="10">
        <v>0.92</v>
      </c>
      <c r="H15" s="10">
        <v>1.01</v>
      </c>
      <c r="I15" s="10">
        <v>0.8</v>
      </c>
      <c r="J15" s="10">
        <v>0.25</v>
      </c>
      <c r="K15" s="10">
        <v>0.12</v>
      </c>
      <c r="L15" s="10">
        <v>0.62</v>
      </c>
      <c r="M15" s="10">
        <v>0.12</v>
      </c>
      <c r="N15" s="10">
        <v>0.28999999999999998</v>
      </c>
      <c r="O15" s="10">
        <v>0.23</v>
      </c>
      <c r="P15" s="10">
        <v>0.13</v>
      </c>
      <c r="Q15" s="10">
        <v>0.89</v>
      </c>
      <c r="R15" s="10">
        <v>1.1499999999999999</v>
      </c>
      <c r="S15" s="10">
        <v>0.99</v>
      </c>
      <c r="T15" s="10">
        <v>0.85</v>
      </c>
    </row>
    <row r="16" spans="1:22" x14ac:dyDescent="0.2">
      <c r="A16" s="8">
        <v>141</v>
      </c>
      <c r="B16" s="10">
        <v>1.08</v>
      </c>
      <c r="C16" s="10">
        <v>0.47</v>
      </c>
      <c r="D16" s="10">
        <v>0.14000000000000001</v>
      </c>
      <c r="E16" s="10">
        <v>0.36</v>
      </c>
      <c r="F16" s="10">
        <v>0.05</v>
      </c>
      <c r="G16" s="10">
        <v>1.25</v>
      </c>
      <c r="H16" s="10">
        <v>0.7</v>
      </c>
      <c r="I16" s="10">
        <v>0.87</v>
      </c>
      <c r="J16" s="10">
        <v>0.14000000000000001</v>
      </c>
      <c r="K16" s="10">
        <v>0.18</v>
      </c>
      <c r="L16" s="10">
        <v>0.71</v>
      </c>
      <c r="M16" s="10">
        <v>0.12</v>
      </c>
      <c r="N16" s="10">
        <v>0.11</v>
      </c>
      <c r="O16" s="10">
        <v>0.23</v>
      </c>
      <c r="P16" s="10">
        <v>0.28999999999999998</v>
      </c>
      <c r="Q16" s="10">
        <v>0.94</v>
      </c>
      <c r="R16" s="10">
        <v>0.78</v>
      </c>
      <c r="S16" s="10">
        <v>0.64</v>
      </c>
      <c r="T16" s="10">
        <v>0.41</v>
      </c>
    </row>
    <row r="17" spans="1:20" x14ac:dyDescent="0.2">
      <c r="A17" s="8">
        <v>142</v>
      </c>
      <c r="B17" s="10">
        <v>1.1399999999999999</v>
      </c>
      <c r="C17" s="10">
        <v>0.11</v>
      </c>
      <c r="D17" s="10">
        <v>0.03</v>
      </c>
      <c r="E17" s="10">
        <v>0.48</v>
      </c>
      <c r="F17" s="10">
        <v>0</v>
      </c>
      <c r="G17" s="10">
        <v>0.97</v>
      </c>
      <c r="H17" s="10">
        <v>0.66</v>
      </c>
      <c r="I17" s="10">
        <v>0.65</v>
      </c>
      <c r="J17" s="10">
        <v>0.22</v>
      </c>
      <c r="K17" s="10">
        <v>0.26</v>
      </c>
      <c r="L17" s="10">
        <v>0.87</v>
      </c>
      <c r="M17" s="10">
        <v>0.24</v>
      </c>
      <c r="N17" s="10">
        <v>0.34</v>
      </c>
      <c r="O17" s="10">
        <v>0.15</v>
      </c>
      <c r="P17" s="10">
        <v>0.24</v>
      </c>
      <c r="Q17" s="10">
        <v>0.77</v>
      </c>
      <c r="R17" s="10">
        <v>1.17</v>
      </c>
      <c r="S17" s="10">
        <v>0.55000000000000004</v>
      </c>
      <c r="T17" s="10">
        <v>0.48</v>
      </c>
    </row>
    <row r="18" spans="1:20" x14ac:dyDescent="0.2">
      <c r="A18" s="8">
        <v>143</v>
      </c>
      <c r="B18" s="10">
        <v>0.92</v>
      </c>
      <c r="C18" s="10">
        <v>0.3</v>
      </c>
      <c r="D18" s="10">
        <v>0.18</v>
      </c>
      <c r="E18" s="10">
        <v>0.34</v>
      </c>
      <c r="F18" s="10">
        <v>0.37</v>
      </c>
      <c r="G18" s="10">
        <v>1.01</v>
      </c>
      <c r="H18" s="10">
        <v>0.95</v>
      </c>
      <c r="I18" s="10">
        <v>0.76</v>
      </c>
      <c r="J18" s="10">
        <v>0.18</v>
      </c>
      <c r="K18" s="10">
        <v>0.17</v>
      </c>
      <c r="L18" s="10">
        <v>0.75</v>
      </c>
      <c r="M18" s="10">
        <v>0.16</v>
      </c>
      <c r="N18" s="10">
        <v>0.3</v>
      </c>
      <c r="O18" s="10">
        <v>0.14000000000000001</v>
      </c>
      <c r="P18" s="10">
        <v>0.18</v>
      </c>
      <c r="Q18" s="10">
        <v>1.04</v>
      </c>
      <c r="R18" s="10">
        <v>1.19</v>
      </c>
      <c r="S18" s="10">
        <v>0.43</v>
      </c>
      <c r="T18" s="10">
        <v>0.91</v>
      </c>
    </row>
    <row r="19" spans="1:20" x14ac:dyDescent="0.2">
      <c r="A19" s="8">
        <v>144</v>
      </c>
      <c r="B19" s="10">
        <v>0.94</v>
      </c>
      <c r="C19" s="10">
        <v>0.03</v>
      </c>
      <c r="D19" s="10">
        <v>0.25</v>
      </c>
      <c r="E19" s="10">
        <v>0.42</v>
      </c>
      <c r="F19" s="10">
        <v>0.26</v>
      </c>
      <c r="G19" s="10">
        <v>1.21</v>
      </c>
      <c r="H19" s="10">
        <v>1.18</v>
      </c>
      <c r="I19" s="10">
        <v>0.66</v>
      </c>
      <c r="J19" s="10">
        <v>0.14000000000000001</v>
      </c>
      <c r="K19" s="10">
        <v>0.15</v>
      </c>
      <c r="L19" s="10">
        <v>0.74</v>
      </c>
      <c r="M19" s="10">
        <v>0.21</v>
      </c>
      <c r="N19" s="10">
        <v>0.4</v>
      </c>
      <c r="O19" s="10">
        <v>0.3</v>
      </c>
      <c r="P19" s="10">
        <v>0.14000000000000001</v>
      </c>
      <c r="Q19" s="10">
        <v>1.01</v>
      </c>
      <c r="R19" s="10">
        <v>1.02</v>
      </c>
      <c r="S19" s="10">
        <v>0.96</v>
      </c>
      <c r="T19" s="10">
        <v>0.28999999999999998</v>
      </c>
    </row>
    <row r="20" spans="1:20" x14ac:dyDescent="0.2">
      <c r="A20" s="8">
        <v>145</v>
      </c>
      <c r="B20" s="10">
        <v>1.02</v>
      </c>
      <c r="C20" s="10">
        <v>0.08</v>
      </c>
      <c r="D20" s="10">
        <v>0</v>
      </c>
      <c r="E20" s="10">
        <v>0.17</v>
      </c>
      <c r="F20" s="10">
        <v>0.09</v>
      </c>
      <c r="G20" s="10">
        <v>1.2</v>
      </c>
      <c r="H20" s="10">
        <v>0.8</v>
      </c>
      <c r="I20" s="10">
        <v>0.72</v>
      </c>
      <c r="J20" s="10">
        <v>0.31</v>
      </c>
      <c r="K20" s="10">
        <v>0.31</v>
      </c>
      <c r="L20" s="10">
        <v>0.75</v>
      </c>
      <c r="M20" s="10">
        <v>0.35</v>
      </c>
      <c r="N20" s="10">
        <v>0.22</v>
      </c>
      <c r="O20" s="10">
        <v>0.26</v>
      </c>
      <c r="P20" s="10">
        <v>0.15</v>
      </c>
      <c r="Q20" s="10">
        <v>0.97</v>
      </c>
      <c r="R20" s="10">
        <v>1.21</v>
      </c>
      <c r="S20" s="10">
        <v>0.56999999999999995</v>
      </c>
      <c r="T20" s="10">
        <v>0.74</v>
      </c>
    </row>
    <row r="21" spans="1:20" x14ac:dyDescent="0.2">
      <c r="A21" s="8">
        <v>146</v>
      </c>
      <c r="B21" s="10">
        <v>1.1000000000000001</v>
      </c>
      <c r="C21" s="10">
        <v>7.0000000000000007E-2</v>
      </c>
      <c r="D21" s="10">
        <v>0.22</v>
      </c>
      <c r="E21" s="10">
        <v>0.44</v>
      </c>
      <c r="F21" s="10">
        <v>0.34</v>
      </c>
      <c r="G21" s="10">
        <v>0.81</v>
      </c>
      <c r="H21" s="10">
        <v>0.98</v>
      </c>
      <c r="I21" s="10">
        <v>0.72</v>
      </c>
      <c r="J21" s="10">
        <v>0.39</v>
      </c>
      <c r="K21" s="10">
        <v>0.28000000000000003</v>
      </c>
      <c r="L21" s="10">
        <v>0.76</v>
      </c>
      <c r="M21" s="10">
        <v>0.28999999999999998</v>
      </c>
      <c r="N21" s="10">
        <v>0.17</v>
      </c>
      <c r="O21" s="10">
        <v>0.27</v>
      </c>
      <c r="P21" s="10">
        <v>0.18</v>
      </c>
      <c r="Q21" s="10">
        <v>0.92</v>
      </c>
      <c r="R21" s="10">
        <v>1.0900000000000001</v>
      </c>
      <c r="S21" s="10">
        <v>0.41</v>
      </c>
      <c r="T21" s="10">
        <v>0.8</v>
      </c>
    </row>
    <row r="22" spans="1:20" x14ac:dyDescent="0.2">
      <c r="A22" s="8">
        <v>147</v>
      </c>
      <c r="B22" s="10">
        <v>1.05</v>
      </c>
      <c r="C22" s="10">
        <v>0.46</v>
      </c>
      <c r="D22" s="10">
        <v>0.34</v>
      </c>
      <c r="E22" s="10">
        <v>0.49</v>
      </c>
      <c r="F22" s="10">
        <v>0.44</v>
      </c>
      <c r="G22" s="10">
        <v>1.27</v>
      </c>
      <c r="H22" s="10">
        <v>0.62</v>
      </c>
      <c r="I22" s="10">
        <v>0.8</v>
      </c>
      <c r="J22" s="10">
        <v>0.27</v>
      </c>
      <c r="K22" s="10">
        <v>0.2</v>
      </c>
      <c r="L22" s="10">
        <v>0.79</v>
      </c>
      <c r="M22" s="10">
        <v>0.32</v>
      </c>
      <c r="N22" s="10">
        <v>0.34</v>
      </c>
      <c r="O22" s="10">
        <v>0.25</v>
      </c>
      <c r="P22" s="10">
        <v>0.28999999999999998</v>
      </c>
      <c r="Q22" s="10">
        <v>1.17</v>
      </c>
      <c r="R22" s="10">
        <v>0.95</v>
      </c>
      <c r="S22" s="10">
        <v>0.73</v>
      </c>
      <c r="T22" s="10">
        <v>0.75</v>
      </c>
    </row>
    <row r="23" spans="1:20" x14ac:dyDescent="0.2">
      <c r="A23" s="8">
        <v>148</v>
      </c>
      <c r="B23" s="10">
        <v>1.2</v>
      </c>
      <c r="C23" s="10">
        <v>0.15</v>
      </c>
      <c r="D23" s="10">
        <v>0.11</v>
      </c>
      <c r="E23" s="10">
        <v>0.08</v>
      </c>
      <c r="F23" s="10">
        <v>0.3</v>
      </c>
      <c r="G23" s="10">
        <v>1.03</v>
      </c>
      <c r="H23" s="10">
        <v>1.29</v>
      </c>
      <c r="I23" s="10">
        <v>0.65</v>
      </c>
      <c r="J23" s="10">
        <v>0.26</v>
      </c>
      <c r="K23" s="10">
        <v>0.25</v>
      </c>
      <c r="L23" s="10">
        <v>0.7</v>
      </c>
      <c r="M23" s="10">
        <v>0.34</v>
      </c>
      <c r="N23" s="10">
        <v>0.38</v>
      </c>
      <c r="O23" s="10">
        <v>0.12</v>
      </c>
      <c r="P23" s="10">
        <v>0.11</v>
      </c>
      <c r="Q23" s="10">
        <v>0.91</v>
      </c>
      <c r="R23" s="10">
        <v>0.95</v>
      </c>
      <c r="S23" s="10">
        <v>0.59</v>
      </c>
      <c r="T23" s="10">
        <v>0.66</v>
      </c>
    </row>
    <row r="24" spans="1:20" x14ac:dyDescent="0.2">
      <c r="A24" s="8">
        <v>149</v>
      </c>
      <c r="B24" s="10">
        <v>1.18</v>
      </c>
      <c r="C24" s="10">
        <v>0.2</v>
      </c>
      <c r="D24" s="10">
        <v>0.24</v>
      </c>
      <c r="E24" s="10">
        <v>0.33</v>
      </c>
      <c r="F24" s="10">
        <v>0.11</v>
      </c>
      <c r="G24" s="10">
        <v>0.75</v>
      </c>
      <c r="H24" s="10">
        <v>1.32</v>
      </c>
      <c r="I24" s="10">
        <v>0.73</v>
      </c>
      <c r="J24" s="10">
        <v>0.12</v>
      </c>
      <c r="K24" s="10">
        <v>0.18</v>
      </c>
      <c r="L24" s="10">
        <v>0.84</v>
      </c>
      <c r="M24" s="10">
        <v>0.15</v>
      </c>
      <c r="N24" s="10">
        <v>0.36</v>
      </c>
      <c r="O24" s="10">
        <v>0.12</v>
      </c>
      <c r="P24" s="10">
        <v>0.3</v>
      </c>
      <c r="Q24" s="10">
        <v>1.23</v>
      </c>
      <c r="R24" s="10">
        <v>1.1200000000000001</v>
      </c>
      <c r="S24" s="10">
        <v>0.81</v>
      </c>
      <c r="T24" s="10">
        <v>0.69</v>
      </c>
    </row>
    <row r="25" spans="1:20" x14ac:dyDescent="0.2">
      <c r="A25" s="8">
        <v>150</v>
      </c>
      <c r="B25" s="10">
        <v>1.1599999999999999</v>
      </c>
      <c r="C25" s="10">
        <v>0.43</v>
      </c>
      <c r="D25" s="10">
        <v>0.28999999999999998</v>
      </c>
      <c r="E25" s="10">
        <v>7.0000000000000007E-2</v>
      </c>
      <c r="F25" s="10">
        <v>0.02</v>
      </c>
      <c r="G25" s="10">
        <v>1.1200000000000001</v>
      </c>
      <c r="H25" s="10">
        <v>1.39</v>
      </c>
      <c r="I25" s="10">
        <v>0.84</v>
      </c>
      <c r="J25" s="10">
        <v>0.27</v>
      </c>
      <c r="K25" s="10">
        <v>0.31</v>
      </c>
      <c r="L25" s="10">
        <v>0.88</v>
      </c>
      <c r="M25" s="10">
        <v>0.36</v>
      </c>
      <c r="N25" s="10">
        <v>0.31</v>
      </c>
      <c r="O25" s="10">
        <v>0.14000000000000001</v>
      </c>
      <c r="P25" s="10">
        <v>0.2</v>
      </c>
      <c r="Q25" s="10">
        <v>1.1399999999999999</v>
      </c>
      <c r="R25" s="10">
        <v>0.86</v>
      </c>
      <c r="S25" s="10">
        <v>0.95</v>
      </c>
      <c r="T25" s="10">
        <v>0.55000000000000004</v>
      </c>
    </row>
    <row r="26" spans="1:20" x14ac:dyDescent="0.2">
      <c r="A26" s="8">
        <v>151</v>
      </c>
      <c r="B26" s="10">
        <v>1.02</v>
      </c>
      <c r="C26" s="10">
        <v>0.34</v>
      </c>
      <c r="D26" s="10">
        <v>0.45</v>
      </c>
      <c r="E26" s="10">
        <v>0</v>
      </c>
      <c r="F26" s="10">
        <v>0.2</v>
      </c>
      <c r="G26" s="10">
        <v>0.94</v>
      </c>
      <c r="H26" s="10">
        <v>1.22</v>
      </c>
      <c r="I26" s="10">
        <v>0.78</v>
      </c>
      <c r="J26" s="10">
        <v>0.17</v>
      </c>
      <c r="K26" s="10">
        <v>0.27</v>
      </c>
      <c r="L26" s="10">
        <v>0.69</v>
      </c>
      <c r="M26" s="10">
        <v>0.3</v>
      </c>
      <c r="N26" s="10">
        <v>0.26</v>
      </c>
      <c r="O26" s="10">
        <v>0.18</v>
      </c>
      <c r="P26" s="10">
        <v>0.26</v>
      </c>
      <c r="Q26" s="10">
        <v>1</v>
      </c>
      <c r="R26" s="10">
        <v>0.97</v>
      </c>
      <c r="S26" s="10">
        <v>0.3</v>
      </c>
      <c r="T26" s="10">
        <v>0.93</v>
      </c>
    </row>
    <row r="27" spans="1:20" x14ac:dyDescent="0.2">
      <c r="A27" s="8">
        <v>152</v>
      </c>
      <c r="B27" s="10">
        <v>0.92</v>
      </c>
      <c r="C27" s="10">
        <v>0.28000000000000003</v>
      </c>
      <c r="D27" s="10">
        <v>7.0000000000000007E-2</v>
      </c>
      <c r="E27" s="10">
        <v>0.39</v>
      </c>
      <c r="F27" s="10">
        <v>0.24</v>
      </c>
      <c r="G27" s="10">
        <v>1.37</v>
      </c>
      <c r="H27" s="10">
        <v>1.1499999999999999</v>
      </c>
      <c r="I27" s="10">
        <v>0.83</v>
      </c>
      <c r="J27" s="10">
        <v>0.34</v>
      </c>
      <c r="K27" s="10">
        <v>0.14000000000000001</v>
      </c>
      <c r="L27" s="10">
        <v>0.73</v>
      </c>
      <c r="M27" s="10">
        <v>0.38</v>
      </c>
      <c r="N27" s="10">
        <v>0.13</v>
      </c>
      <c r="O27" s="10">
        <v>0.22</v>
      </c>
      <c r="P27" s="10">
        <v>0.22</v>
      </c>
      <c r="Q27" s="10">
        <v>0.86</v>
      </c>
      <c r="R27" s="10">
        <v>0.82</v>
      </c>
      <c r="S27" s="10">
        <v>0.88</v>
      </c>
      <c r="T27" s="10">
        <v>0.55000000000000004</v>
      </c>
    </row>
    <row r="28" spans="1:20" x14ac:dyDescent="0.2">
      <c r="A28" s="8">
        <v>153</v>
      </c>
      <c r="B28" s="10">
        <v>0.77</v>
      </c>
      <c r="C28" s="10">
        <v>0.17</v>
      </c>
      <c r="D28" s="10">
        <v>0.36</v>
      </c>
      <c r="E28" s="10">
        <v>0.22</v>
      </c>
      <c r="F28" s="10">
        <v>0.23</v>
      </c>
      <c r="G28" s="10">
        <v>0.69</v>
      </c>
      <c r="H28" s="10">
        <v>1.03</v>
      </c>
      <c r="I28" s="10">
        <v>0.7</v>
      </c>
      <c r="J28" s="10">
        <v>0.24</v>
      </c>
      <c r="K28" s="10">
        <v>0.28999999999999998</v>
      </c>
      <c r="L28" s="10">
        <v>0.79</v>
      </c>
      <c r="M28" s="10">
        <v>0.4</v>
      </c>
      <c r="N28" s="10">
        <v>0.27</v>
      </c>
      <c r="O28" s="10">
        <v>0.13</v>
      </c>
      <c r="P28" s="10">
        <v>0.15</v>
      </c>
      <c r="Q28" s="10">
        <v>1.02</v>
      </c>
      <c r="R28" s="10">
        <v>0.81</v>
      </c>
      <c r="S28" s="10">
        <v>0.47</v>
      </c>
      <c r="T28" s="10">
        <v>0.88</v>
      </c>
    </row>
    <row r="29" spans="1:20" x14ac:dyDescent="0.2">
      <c r="A29" s="8">
        <v>154</v>
      </c>
      <c r="B29" s="10">
        <v>0.84</v>
      </c>
      <c r="C29" s="10">
        <v>0.09</v>
      </c>
      <c r="D29" s="10">
        <v>0.48</v>
      </c>
      <c r="E29" s="10">
        <v>0.16</v>
      </c>
      <c r="F29" s="10">
        <v>0.06</v>
      </c>
      <c r="G29" s="10">
        <v>1.06</v>
      </c>
      <c r="H29" s="10">
        <v>1.1000000000000001</v>
      </c>
      <c r="I29" s="10">
        <v>0.79</v>
      </c>
      <c r="J29" s="10">
        <v>0.31</v>
      </c>
      <c r="K29" s="10">
        <v>0.36</v>
      </c>
      <c r="L29" s="10">
        <v>0.89</v>
      </c>
      <c r="M29" s="10">
        <v>0.33</v>
      </c>
      <c r="N29" s="10">
        <v>0.37</v>
      </c>
      <c r="O29" s="10">
        <v>0.2</v>
      </c>
      <c r="P29" s="10">
        <v>0.23</v>
      </c>
      <c r="Q29" s="10">
        <v>1.1100000000000001</v>
      </c>
      <c r="R29" s="10">
        <v>0.98</v>
      </c>
      <c r="S29" s="10">
        <v>0.69</v>
      </c>
      <c r="T29" s="10">
        <v>0.34</v>
      </c>
    </row>
    <row r="30" spans="1:20" x14ac:dyDescent="0.2">
      <c r="A30" s="8">
        <v>155</v>
      </c>
      <c r="B30" s="10">
        <v>1.22</v>
      </c>
      <c r="C30" s="10">
        <v>0.42</v>
      </c>
      <c r="D30" s="10">
        <v>0.17</v>
      </c>
      <c r="E30" s="10">
        <v>0.21</v>
      </c>
      <c r="F30" s="10">
        <v>0.3</v>
      </c>
      <c r="G30" s="10">
        <v>1.1499999999999999</v>
      </c>
      <c r="H30" s="10">
        <v>0.63</v>
      </c>
      <c r="I30" s="10">
        <v>0.6</v>
      </c>
      <c r="J30" s="10">
        <v>0.19</v>
      </c>
      <c r="K30" s="10">
        <v>0.23</v>
      </c>
      <c r="L30" s="10">
        <v>0.69</v>
      </c>
      <c r="M30" s="10">
        <v>0.17</v>
      </c>
      <c r="N30" s="10">
        <v>0.21</v>
      </c>
      <c r="O30" s="10">
        <v>0.22</v>
      </c>
      <c r="P30" s="10">
        <v>0.11</v>
      </c>
      <c r="Q30" s="10">
        <v>0.84</v>
      </c>
      <c r="R30" s="10">
        <v>1.03</v>
      </c>
      <c r="S30" s="10">
        <v>0.84</v>
      </c>
      <c r="T30" s="10">
        <v>0.36</v>
      </c>
    </row>
    <row r="31" spans="1:20" x14ac:dyDescent="0.2">
      <c r="A31" s="8">
        <v>156</v>
      </c>
      <c r="B31" s="10">
        <v>0.95</v>
      </c>
      <c r="C31" s="10">
        <v>0.22</v>
      </c>
      <c r="D31" s="10">
        <v>0.12</v>
      </c>
      <c r="E31" s="10">
        <v>0.45</v>
      </c>
      <c r="F31" s="10">
        <v>0.22</v>
      </c>
      <c r="G31" s="10">
        <v>0.85</v>
      </c>
      <c r="H31" s="10">
        <v>0.76</v>
      </c>
      <c r="I31" s="10">
        <v>0.9</v>
      </c>
      <c r="J31" s="10">
        <v>0.16</v>
      </c>
      <c r="K31" s="10">
        <v>0.38</v>
      </c>
      <c r="L31" s="10">
        <v>0.77</v>
      </c>
      <c r="M31" s="10">
        <v>0.26</v>
      </c>
      <c r="N31" s="10">
        <v>0.21</v>
      </c>
      <c r="O31" s="10">
        <v>0.17</v>
      </c>
      <c r="P31" s="10">
        <v>0.24</v>
      </c>
      <c r="Q31" s="10">
        <v>1.21</v>
      </c>
      <c r="R31" s="10">
        <v>0.78</v>
      </c>
      <c r="S31" s="10">
        <v>0.27</v>
      </c>
      <c r="T31" s="10">
        <v>0.6</v>
      </c>
    </row>
    <row r="32" spans="1:20" x14ac:dyDescent="0.2">
      <c r="A32" s="8">
        <v>157</v>
      </c>
      <c r="B32" s="10">
        <v>0.83</v>
      </c>
      <c r="C32" s="10">
        <v>0.05</v>
      </c>
      <c r="D32" s="10">
        <v>0.43</v>
      </c>
      <c r="E32" s="10">
        <v>0.03</v>
      </c>
      <c r="F32" s="10">
        <v>0.27</v>
      </c>
      <c r="G32" s="10">
        <v>0.71</v>
      </c>
      <c r="H32" s="10">
        <v>1.07</v>
      </c>
      <c r="I32" s="10">
        <v>0.62</v>
      </c>
      <c r="J32" s="10">
        <v>0.28000000000000003</v>
      </c>
      <c r="K32" s="10">
        <v>0.22</v>
      </c>
      <c r="L32" s="10">
        <v>0.64</v>
      </c>
      <c r="M32" s="10">
        <v>0.18</v>
      </c>
      <c r="N32" s="10">
        <v>0.18</v>
      </c>
      <c r="O32" s="10">
        <v>0.25</v>
      </c>
      <c r="P32" s="10">
        <v>0.2</v>
      </c>
      <c r="Q32" s="10">
        <v>1.07</v>
      </c>
      <c r="R32" s="10">
        <v>1.24</v>
      </c>
      <c r="S32" s="10">
        <v>0.28000000000000003</v>
      </c>
      <c r="T32" s="10">
        <v>0.96</v>
      </c>
    </row>
    <row r="33" spans="1:20" x14ac:dyDescent="0.2">
      <c r="A33" s="8">
        <v>158</v>
      </c>
      <c r="B33" s="10">
        <v>0.89</v>
      </c>
      <c r="C33" s="10">
        <v>0.41</v>
      </c>
      <c r="D33" s="10">
        <v>0.33</v>
      </c>
      <c r="E33" s="10">
        <v>0.28999999999999998</v>
      </c>
      <c r="F33" s="10">
        <v>0.35</v>
      </c>
      <c r="G33" s="10">
        <v>0.78</v>
      </c>
      <c r="H33" s="10">
        <v>0.94</v>
      </c>
      <c r="I33" s="10">
        <v>0.75</v>
      </c>
      <c r="J33" s="10">
        <v>0.36</v>
      </c>
      <c r="K33" s="10">
        <v>0.11</v>
      </c>
      <c r="L33" s="10">
        <v>0.8</v>
      </c>
      <c r="M33" s="10">
        <v>0.23</v>
      </c>
      <c r="N33" s="10">
        <v>0.27</v>
      </c>
      <c r="O33" s="10">
        <v>0.17</v>
      </c>
      <c r="P33" s="10">
        <v>0.12</v>
      </c>
      <c r="Q33" s="10">
        <v>0.81</v>
      </c>
      <c r="R33" s="10">
        <v>1.1299999999999999</v>
      </c>
      <c r="S33" s="10">
        <v>0.87</v>
      </c>
      <c r="T33" s="10">
        <v>0.47</v>
      </c>
    </row>
    <row r="34" spans="1:20" x14ac:dyDescent="0.2">
      <c r="A34" s="8">
        <v>159</v>
      </c>
      <c r="B34" s="10">
        <v>0.99</v>
      </c>
      <c r="C34" s="10">
        <v>0.33</v>
      </c>
      <c r="D34" s="10">
        <v>0.27</v>
      </c>
      <c r="E34" s="10">
        <v>0.37</v>
      </c>
      <c r="F34" s="10">
        <v>0.17</v>
      </c>
      <c r="G34" s="10">
        <v>0.63</v>
      </c>
      <c r="H34" s="10">
        <v>0.88</v>
      </c>
      <c r="I34" s="10">
        <v>0.64</v>
      </c>
      <c r="J34" s="10">
        <v>0.33</v>
      </c>
      <c r="K34" s="10">
        <v>0.34</v>
      </c>
      <c r="L34" s="10">
        <v>0.68</v>
      </c>
      <c r="M34" s="10">
        <v>0.39</v>
      </c>
      <c r="N34" s="10">
        <v>0.23</v>
      </c>
      <c r="O34" s="10">
        <v>0.26</v>
      </c>
      <c r="P34" s="10">
        <v>0.12</v>
      </c>
      <c r="Q34" s="10">
        <v>1.24</v>
      </c>
      <c r="R34" s="10">
        <v>0.93</v>
      </c>
      <c r="S34" s="10">
        <v>0.8</v>
      </c>
      <c r="T34" s="10">
        <v>0.26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4"/>
  <sheetViews>
    <sheetView zoomScale="92" workbookViewId="0">
      <selection activeCell="M33" sqref="M33"/>
    </sheetView>
  </sheetViews>
  <sheetFormatPr baseColWidth="10" defaultColWidth="8.83203125" defaultRowHeight="16" x14ac:dyDescent="0.2"/>
  <cols>
    <col min="1" max="1" width="23.83203125" customWidth="1"/>
    <col min="2" max="2" width="26.33203125" customWidth="1"/>
    <col min="3" max="3" width="21.83203125" customWidth="1"/>
    <col min="4" max="4" width="26.6640625" customWidth="1"/>
  </cols>
  <sheetData>
    <row r="1" spans="1:4" ht="56" x14ac:dyDescent="0.2">
      <c r="A1" s="5"/>
      <c r="B1" s="3" t="s">
        <v>22</v>
      </c>
      <c r="C1" s="3" t="s">
        <v>23</v>
      </c>
      <c r="D1" s="3" t="s">
        <v>24</v>
      </c>
    </row>
    <row r="2" spans="1:4" x14ac:dyDescent="0.2">
      <c r="A2" s="6" t="s">
        <v>26</v>
      </c>
      <c r="B2" s="70" t="s">
        <v>160</v>
      </c>
      <c r="C2" s="70" t="s">
        <v>164</v>
      </c>
      <c r="D2" s="70" t="s">
        <v>168</v>
      </c>
    </row>
    <row r="3" spans="1:4" x14ac:dyDescent="0.2">
      <c r="B3" s="5">
        <v>6330240</v>
      </c>
      <c r="C3" s="5">
        <v>1205760</v>
      </c>
      <c r="D3" s="5">
        <v>223000</v>
      </c>
    </row>
    <row r="4" spans="1:4" x14ac:dyDescent="0.2">
      <c r="A4" s="6" t="s">
        <v>25</v>
      </c>
      <c r="B4" s="70" t="s">
        <v>161</v>
      </c>
      <c r="C4" s="70" t="s">
        <v>165</v>
      </c>
      <c r="D4" s="70" t="s">
        <v>169</v>
      </c>
    </row>
    <row r="5" spans="1:4" x14ac:dyDescent="0.2">
      <c r="B5" s="5">
        <v>5554080</v>
      </c>
      <c r="C5" s="5">
        <v>1057920</v>
      </c>
      <c r="D5" s="5">
        <v>258000</v>
      </c>
    </row>
    <row r="6" spans="1:4" x14ac:dyDescent="0.2">
      <c r="A6" s="6" t="s">
        <v>27</v>
      </c>
      <c r="B6" s="70" t="s">
        <v>162</v>
      </c>
      <c r="C6" s="70" t="s">
        <v>166</v>
      </c>
      <c r="D6" s="70" t="s">
        <v>170</v>
      </c>
    </row>
    <row r="7" spans="1:4" x14ac:dyDescent="0.2">
      <c r="B7" s="5">
        <v>2914350</v>
      </c>
      <c r="C7" s="5">
        <v>555114</v>
      </c>
      <c r="D7" s="5">
        <v>173605</v>
      </c>
    </row>
    <row r="8" spans="1:4" x14ac:dyDescent="0.2">
      <c r="A8" s="6" t="s">
        <v>28</v>
      </c>
      <c r="B8" s="70" t="s">
        <v>163</v>
      </c>
      <c r="C8" s="70" t="s">
        <v>167</v>
      </c>
      <c r="D8" s="70" t="s">
        <v>171</v>
      </c>
    </row>
    <row r="9" spans="1:4" x14ac:dyDescent="0.2">
      <c r="B9" s="5">
        <v>2176803</v>
      </c>
      <c r="C9" s="5">
        <v>414629</v>
      </c>
      <c r="D9" s="5">
        <v>48975</v>
      </c>
    </row>
    <row r="11" spans="1:4" ht="42" x14ac:dyDescent="0.2">
      <c r="A11" s="3" t="s">
        <v>8</v>
      </c>
      <c r="B11" s="3" t="s">
        <v>9</v>
      </c>
    </row>
    <row r="12" spans="1:4" ht="84" x14ac:dyDescent="0.2">
      <c r="A12" s="70" t="s">
        <v>181</v>
      </c>
      <c r="B12" s="70" t="s">
        <v>182</v>
      </c>
    </row>
    <row r="13" spans="1:4" x14ac:dyDescent="0.2">
      <c r="A13" s="6">
        <v>30</v>
      </c>
      <c r="B13" s="6">
        <v>60</v>
      </c>
    </row>
    <row r="15" spans="1:4" ht="42" x14ac:dyDescent="0.2">
      <c r="A15" s="3" t="s">
        <v>29</v>
      </c>
      <c r="B15" s="3" t="s">
        <v>30</v>
      </c>
      <c r="C15" s="3" t="s">
        <v>31</v>
      </c>
      <c r="D15" s="3" t="s">
        <v>32</v>
      </c>
    </row>
    <row r="16" spans="1:4" x14ac:dyDescent="0.2">
      <c r="A16" s="70" t="s">
        <v>177</v>
      </c>
      <c r="B16" s="70" t="s">
        <v>178</v>
      </c>
      <c r="C16" s="70" t="s">
        <v>179</v>
      </c>
      <c r="D16" s="70" t="s">
        <v>180</v>
      </c>
    </row>
    <row r="17" spans="1:4" x14ac:dyDescent="0.2">
      <c r="A17" s="6">
        <v>4</v>
      </c>
      <c r="B17" s="6">
        <v>33</v>
      </c>
      <c r="C17" s="6">
        <v>2</v>
      </c>
      <c r="D17" s="6">
        <v>15</v>
      </c>
    </row>
    <row r="19" spans="1:4" ht="42" x14ac:dyDescent="0.2">
      <c r="A19" s="3" t="s">
        <v>33</v>
      </c>
      <c r="B19" s="3" t="s">
        <v>34</v>
      </c>
      <c r="C19" s="3" t="s">
        <v>35</v>
      </c>
    </row>
    <row r="20" spans="1:4" x14ac:dyDescent="0.2">
      <c r="A20" s="70" t="s">
        <v>172</v>
      </c>
      <c r="B20" s="70" t="s">
        <v>174</v>
      </c>
      <c r="C20" s="70" t="s">
        <v>173</v>
      </c>
    </row>
    <row r="21" spans="1:4" x14ac:dyDescent="0.2">
      <c r="A21" s="6">
        <v>122</v>
      </c>
      <c r="B21" s="6">
        <v>209</v>
      </c>
      <c r="C21" s="6">
        <v>123</v>
      </c>
    </row>
    <row r="23" spans="1:4" ht="56" x14ac:dyDescent="0.2">
      <c r="A23" s="3" t="s">
        <v>36</v>
      </c>
      <c r="B23" s="3" t="s">
        <v>37</v>
      </c>
    </row>
    <row r="24" spans="1:4" x14ac:dyDescent="0.2">
      <c r="A24" s="70" t="s">
        <v>175</v>
      </c>
      <c r="B24" s="70" t="s">
        <v>176</v>
      </c>
    </row>
    <row r="25" spans="1:4" x14ac:dyDescent="0.2">
      <c r="A25" s="6">
        <v>75</v>
      </c>
      <c r="B25" s="6">
        <v>122</v>
      </c>
    </row>
    <row r="27" spans="1:4" ht="42" x14ac:dyDescent="0.2">
      <c r="A27" s="69" t="s">
        <v>10</v>
      </c>
    </row>
    <row r="28" spans="1:4" ht="28" x14ac:dyDescent="0.2">
      <c r="A28" s="69" t="s">
        <v>11</v>
      </c>
    </row>
    <row r="29" spans="1:4" ht="28" x14ac:dyDescent="0.2">
      <c r="A29" s="69" t="s">
        <v>12</v>
      </c>
    </row>
    <row r="30" spans="1:4" ht="28" x14ac:dyDescent="0.2">
      <c r="A30" s="68" t="s">
        <v>13</v>
      </c>
      <c r="B30" s="70" t="s">
        <v>183</v>
      </c>
      <c r="C30" s="70" t="s">
        <v>190</v>
      </c>
      <c r="D30" s="70" t="s">
        <v>195</v>
      </c>
    </row>
    <row r="31" spans="1:4" ht="28" x14ac:dyDescent="0.2">
      <c r="A31" s="68" t="s">
        <v>14</v>
      </c>
      <c r="B31" s="70" t="s">
        <v>184</v>
      </c>
      <c r="C31" s="70" t="s">
        <v>191</v>
      </c>
      <c r="D31" s="110" t="s">
        <v>196</v>
      </c>
    </row>
    <row r="32" spans="1:4" ht="28" x14ac:dyDescent="0.2">
      <c r="A32" s="68" t="s">
        <v>15</v>
      </c>
      <c r="B32" s="70" t="s">
        <v>186</v>
      </c>
      <c r="C32" s="70" t="s">
        <v>193</v>
      </c>
      <c r="D32" s="111"/>
    </row>
    <row r="33" spans="1:4" ht="42" x14ac:dyDescent="0.2">
      <c r="A33" s="68" t="s">
        <v>187</v>
      </c>
      <c r="B33" s="70" t="s">
        <v>185</v>
      </c>
      <c r="C33" s="70" t="s">
        <v>192</v>
      </c>
      <c r="D33" s="110" t="s">
        <v>197</v>
      </c>
    </row>
    <row r="34" spans="1:4" ht="42" x14ac:dyDescent="0.2">
      <c r="A34" s="68" t="s">
        <v>188</v>
      </c>
      <c r="B34" s="70" t="s">
        <v>189</v>
      </c>
      <c r="C34" s="70" t="s">
        <v>194</v>
      </c>
      <c r="D34" s="111"/>
    </row>
  </sheetData>
  <mergeCells count="2">
    <mergeCell ref="D31:D32"/>
    <mergeCell ref="D33:D3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3"/>
  <sheetViews>
    <sheetView zoomScale="119" zoomScaleNormal="80" workbookViewId="0">
      <selection activeCell="A4" sqref="A4:A33"/>
    </sheetView>
  </sheetViews>
  <sheetFormatPr baseColWidth="10" defaultColWidth="8.83203125" defaultRowHeight="16" x14ac:dyDescent="0.2"/>
  <cols>
    <col min="1" max="1" width="10.5" style="4" bestFit="1" customWidth="1"/>
    <col min="2" max="2" width="16" customWidth="1"/>
    <col min="3" max="3" width="13" customWidth="1"/>
    <col min="4" max="4" width="17.33203125" customWidth="1"/>
    <col min="5" max="5" width="14.33203125" customWidth="1"/>
    <col min="6" max="6" width="14.83203125" customWidth="1"/>
    <col min="7" max="7" width="15.83203125" customWidth="1"/>
    <col min="8" max="8" width="13.33203125" customWidth="1"/>
    <col min="9" max="9" width="14.6640625" customWidth="1"/>
    <col min="10" max="11" width="10.1640625" customWidth="1"/>
    <col min="12" max="12" width="13.6640625" bestFit="1" customWidth="1"/>
    <col min="13" max="13" width="7.83203125" bestFit="1" customWidth="1"/>
    <col min="14" max="14" width="8.33203125" bestFit="1" customWidth="1"/>
    <col min="15" max="15" width="13.5" bestFit="1" customWidth="1"/>
    <col min="23" max="23" width="13.6640625" customWidth="1"/>
    <col min="24" max="24" width="10" customWidth="1"/>
    <col min="29" max="30" width="11.6640625" customWidth="1"/>
    <col min="31" max="31" width="11.83203125" customWidth="1"/>
    <col min="32" max="32" width="12" customWidth="1"/>
    <col min="33" max="33" width="12.6640625" customWidth="1"/>
    <col min="34" max="34" width="12.1640625" customWidth="1"/>
    <col min="35" max="35" width="11.6640625" customWidth="1"/>
    <col min="36" max="36" width="12.33203125" customWidth="1"/>
  </cols>
  <sheetData>
    <row r="1" spans="1:36" ht="61" customHeight="1" x14ac:dyDescent="0.2">
      <c r="B1" s="112" t="s">
        <v>110</v>
      </c>
      <c r="C1" s="112"/>
      <c r="D1" s="112"/>
      <c r="E1" s="113"/>
      <c r="F1" s="116" t="s">
        <v>147</v>
      </c>
      <c r="G1" s="114"/>
      <c r="H1" s="114"/>
      <c r="I1" s="114"/>
      <c r="J1" s="114"/>
      <c r="K1" s="114"/>
      <c r="L1" s="114"/>
      <c r="M1" s="114"/>
      <c r="N1" s="114"/>
      <c r="O1" s="114"/>
      <c r="P1" s="114"/>
      <c r="Q1" s="114"/>
      <c r="R1" s="114"/>
      <c r="S1" s="114"/>
      <c r="T1" s="114"/>
      <c r="U1" s="114"/>
      <c r="V1" s="114"/>
      <c r="W1" s="116" t="s">
        <v>129</v>
      </c>
      <c r="X1" s="114"/>
      <c r="Y1" s="114"/>
      <c r="Z1" s="114"/>
      <c r="AA1" s="114"/>
      <c r="AB1" s="114"/>
      <c r="AC1" s="116" t="s">
        <v>148</v>
      </c>
      <c r="AD1" s="114"/>
      <c r="AE1" s="114"/>
      <c r="AF1" s="114"/>
      <c r="AG1" s="114"/>
      <c r="AH1" s="114"/>
      <c r="AI1" s="114"/>
      <c r="AJ1" s="114"/>
    </row>
    <row r="2" spans="1:36" ht="63.75" customHeight="1" x14ac:dyDescent="0.2">
      <c r="A2" s="13" t="s">
        <v>3</v>
      </c>
      <c r="B2" s="114"/>
      <c r="C2" s="114"/>
      <c r="D2" s="114"/>
      <c r="E2" s="115"/>
      <c r="F2" s="117" t="s">
        <v>4</v>
      </c>
      <c r="G2" s="117"/>
      <c r="H2" s="117"/>
      <c r="I2" s="117" t="s">
        <v>5</v>
      </c>
      <c r="J2" s="117"/>
      <c r="K2" s="117"/>
      <c r="L2" s="117" t="s">
        <v>6</v>
      </c>
      <c r="M2" s="117"/>
      <c r="N2" s="117"/>
      <c r="O2" s="117" t="s">
        <v>7</v>
      </c>
      <c r="P2" s="117"/>
      <c r="Q2" s="117"/>
      <c r="R2" s="117" t="s">
        <v>33</v>
      </c>
      <c r="S2" s="117" t="s">
        <v>34</v>
      </c>
      <c r="T2" s="117" t="s">
        <v>35</v>
      </c>
      <c r="U2" s="117" t="s">
        <v>36</v>
      </c>
      <c r="V2" s="117" t="s">
        <v>37</v>
      </c>
      <c r="W2" s="117" t="s">
        <v>8</v>
      </c>
      <c r="X2" s="117" t="s">
        <v>9</v>
      </c>
      <c r="Y2" s="117" t="s">
        <v>29</v>
      </c>
      <c r="Z2" s="117" t="s">
        <v>30</v>
      </c>
      <c r="AA2" s="117" t="s">
        <v>31</v>
      </c>
      <c r="AB2" s="117" t="s">
        <v>32</v>
      </c>
      <c r="AC2" s="117" t="s">
        <v>10</v>
      </c>
      <c r="AD2" s="117" t="s">
        <v>11</v>
      </c>
      <c r="AE2" s="117" t="s">
        <v>12</v>
      </c>
      <c r="AF2" s="117" t="s">
        <v>13</v>
      </c>
      <c r="AG2" s="117" t="s">
        <v>14</v>
      </c>
      <c r="AH2" s="117" t="s">
        <v>15</v>
      </c>
      <c r="AI2" s="117" t="s">
        <v>16</v>
      </c>
      <c r="AJ2" s="117" t="s">
        <v>17</v>
      </c>
    </row>
    <row r="3" spans="1:36" x14ac:dyDescent="0.2">
      <c r="A3" s="13"/>
      <c r="B3" s="11" t="s">
        <v>160</v>
      </c>
      <c r="C3" s="11" t="s">
        <v>161</v>
      </c>
      <c r="D3" s="11" t="s">
        <v>162</v>
      </c>
      <c r="E3" s="11" t="s">
        <v>163</v>
      </c>
      <c r="F3" s="11" t="s">
        <v>164</v>
      </c>
      <c r="G3" s="11" t="s">
        <v>38</v>
      </c>
      <c r="H3" s="11" t="s">
        <v>39</v>
      </c>
      <c r="I3" s="11" t="s">
        <v>165</v>
      </c>
      <c r="J3" s="11" t="s">
        <v>41</v>
      </c>
      <c r="K3" s="11" t="s">
        <v>42</v>
      </c>
      <c r="L3" s="11" t="s">
        <v>166</v>
      </c>
      <c r="M3" s="11" t="s">
        <v>43</v>
      </c>
      <c r="N3" s="11" t="s">
        <v>44</v>
      </c>
      <c r="O3" s="11" t="s">
        <v>167</v>
      </c>
      <c r="P3" s="11" t="s">
        <v>45</v>
      </c>
      <c r="Q3" s="11" t="s">
        <v>46</v>
      </c>
      <c r="R3" s="117"/>
      <c r="S3" s="117"/>
      <c r="T3" s="117"/>
      <c r="U3" s="117"/>
      <c r="V3" s="117"/>
      <c r="W3" s="117"/>
      <c r="X3" s="117"/>
      <c r="Y3" s="117"/>
      <c r="Z3" s="117"/>
      <c r="AA3" s="117"/>
      <c r="AB3" s="117"/>
      <c r="AC3" s="117"/>
      <c r="AD3" s="117"/>
      <c r="AE3" s="117"/>
      <c r="AF3" s="117"/>
      <c r="AG3" s="117"/>
      <c r="AH3" s="117"/>
      <c r="AI3" s="117"/>
      <c r="AJ3" s="117"/>
    </row>
    <row r="4" spans="1:36" x14ac:dyDescent="0.2">
      <c r="A4" s="8">
        <v>130</v>
      </c>
      <c r="B4" s="6">
        <f>'Actual Values'!$B$3*'NOLH Designs (2)'!B5</f>
        <v>7153171.1999999993</v>
      </c>
      <c r="C4" s="6">
        <f>'Actual Values'!$B$5*'NOLH Designs (2)'!B5</f>
        <v>6276110.3999999994</v>
      </c>
      <c r="D4" s="6">
        <f>'Actual Values'!$B$7*'NOLH Designs (2)'!B5</f>
        <v>3293215.4999999995</v>
      </c>
      <c r="E4" s="6">
        <f>'Actual Values'!$B$9*'NOLH Designs (2)'!B5</f>
        <v>2459787.3899999997</v>
      </c>
      <c r="F4" s="12">
        <f>'Actual Values'!$C$3*'NOLH Designs (2)'!C5</f>
        <v>204979.20000000001</v>
      </c>
      <c r="G4" s="12">
        <f>'Actual Values'!$C$3-'ExpValues Eq'!F4</f>
        <v>1000780.8</v>
      </c>
      <c r="H4" s="12">
        <f>F4+'Actual Values'!$D$3</f>
        <v>427979.2</v>
      </c>
      <c r="I4" s="12">
        <f>'Actual Values'!$C$5*'NOLH Designs (2)'!D5</f>
        <v>327955.20000000001</v>
      </c>
      <c r="J4" s="12">
        <f>'Actual Values'!$C$5-'ExpValues Eq'!I4</f>
        <v>729964.8</v>
      </c>
      <c r="K4" s="12">
        <f>I4+'Actual Values'!$D$5</f>
        <v>585955.19999999995</v>
      </c>
      <c r="L4" s="12">
        <f>'Actual Values'!$C$7*'NOLH Designs (2)'!E5</f>
        <v>44409.120000000003</v>
      </c>
      <c r="M4" s="12">
        <f>'Actual Values'!$C$7-'ExpValues Eq'!L4</f>
        <v>510704.88</v>
      </c>
      <c r="N4" s="12">
        <f>L4+'Actual Values'!$D$7</f>
        <v>218014.12</v>
      </c>
      <c r="O4" s="12">
        <f>'Actual Values'!$C$9*'NOLH Designs (2)'!F5</f>
        <v>186583.05000000002</v>
      </c>
      <c r="P4" s="12">
        <f>'Actual Values'!$C$9-'ExpValues Eq'!O4</f>
        <v>228045.94999999998</v>
      </c>
      <c r="Q4" s="12">
        <f>O4+'Actual Values'!$D$9</f>
        <v>235558.05000000002</v>
      </c>
      <c r="R4" s="12">
        <f>'Actual Values'!$A$21*'NOLH Designs (2)'!S5</f>
        <v>47.58</v>
      </c>
      <c r="S4" s="12">
        <f>'Actual Values'!$B$21*'NOLH Designs (2)'!S5</f>
        <v>81.510000000000005</v>
      </c>
      <c r="T4" s="12">
        <f>'Actual Values'!$C$21*'NOLH Designs (2)'!S5</f>
        <v>47.97</v>
      </c>
      <c r="U4" s="12">
        <f>'Actual Values'!$A$25*'NOLH Designs (2)'!T5</f>
        <v>32.25</v>
      </c>
      <c r="V4" s="12">
        <f>'Actual Values'!$B$25*'NOLH Designs (2)'!T5</f>
        <v>52.46</v>
      </c>
      <c r="W4" s="12">
        <f>'Actual Values'!$A$13*'NOLH Designs (2)'!G5</f>
        <v>32.700000000000003</v>
      </c>
      <c r="X4" s="12">
        <f>'Actual Values'!$B$13*'NOLH Designs (2)'!H5</f>
        <v>55.2</v>
      </c>
      <c r="Y4" s="12">
        <f>'Actual Values'!$A$17*'NOLH Designs (2)'!Q5</f>
        <v>4.32</v>
      </c>
      <c r="Z4" s="12">
        <f>'Actual Values'!$B$17*'NOLH Designs (2)'!R5</f>
        <v>35.64</v>
      </c>
      <c r="AA4" s="12">
        <f>'Actual Values'!$C$17*'NOLH Designs (2)'!Q5</f>
        <v>2.16</v>
      </c>
      <c r="AB4" s="12">
        <f>'Actual Values'!$D$17*'NOLH Designs (2)'!R5</f>
        <v>16.200000000000003</v>
      </c>
      <c r="AC4" s="6">
        <v>0.83</v>
      </c>
      <c r="AD4" s="6">
        <v>0.27</v>
      </c>
      <c r="AE4" s="6">
        <v>0.38</v>
      </c>
      <c r="AF4" s="6">
        <v>0.83</v>
      </c>
      <c r="AG4" s="6">
        <v>0.33</v>
      </c>
      <c r="AH4" s="6">
        <v>0.28000000000000003</v>
      </c>
      <c r="AI4" s="6">
        <v>0.3</v>
      </c>
      <c r="AJ4" s="6">
        <v>0.28999999999999998</v>
      </c>
    </row>
    <row r="5" spans="1:36" x14ac:dyDescent="0.2">
      <c r="A5" s="8">
        <v>131</v>
      </c>
      <c r="B5" s="6">
        <f>'Actual Values'!$B$3*'NOLH Designs (2)'!B6</f>
        <v>5064192</v>
      </c>
      <c r="C5" s="6">
        <f>'Actual Values'!$B$5*'NOLH Designs (2)'!B6</f>
        <v>4443264</v>
      </c>
      <c r="D5" s="6">
        <f>'Actual Values'!$B$7*'NOLH Designs (2)'!B6</f>
        <v>2331480</v>
      </c>
      <c r="E5" s="6">
        <f>'Actual Values'!$B$9*'NOLH Designs (2)'!B6</f>
        <v>1741442.4000000001</v>
      </c>
      <c r="F5" s="12">
        <f>'Actual Values'!$C$3*'NOLH Designs (2)'!C6</f>
        <v>482304</v>
      </c>
      <c r="G5" s="12">
        <f>'Actual Values'!$C$3-'ExpValues Eq'!F5</f>
        <v>723456</v>
      </c>
      <c r="H5" s="12">
        <f>F5+'Actual Values'!$D$3</f>
        <v>705304</v>
      </c>
      <c r="I5" s="12">
        <f>'Actual Values'!$C$5*'NOLH Designs (2)'!D6</f>
        <v>201004.79999999999</v>
      </c>
      <c r="J5" s="12">
        <f>'Actual Values'!$C$5-'ExpValues Eq'!I5</f>
        <v>856915.2</v>
      </c>
      <c r="K5" s="12">
        <f>I5+'Actual Values'!$D$5</f>
        <v>459004.8</v>
      </c>
      <c r="L5" s="12">
        <f>'Actual Values'!$C$7*'NOLH Designs (2)'!E6</f>
        <v>227596.74</v>
      </c>
      <c r="M5" s="12">
        <f>'Actual Values'!$C$7-'ExpValues Eq'!L5</f>
        <v>327517.26</v>
      </c>
      <c r="N5" s="12">
        <f>L5+'Actual Values'!$D$7</f>
        <v>401201.74</v>
      </c>
      <c r="O5" s="12">
        <f>'Actual Values'!$C$9*'NOLH Designs (2)'!F6</f>
        <v>194875.62999999998</v>
      </c>
      <c r="P5" s="12">
        <f>'Actual Values'!$C$9-'ExpValues Eq'!O5</f>
        <v>219753.37000000002</v>
      </c>
      <c r="Q5" s="12">
        <f>O5+'Actual Values'!$D$9</f>
        <v>243850.62999999998</v>
      </c>
      <c r="R5" s="12">
        <f>'Actual Values'!$A$21*'NOLH Designs (2)'!S6</f>
        <v>42.699999999999996</v>
      </c>
      <c r="S5" s="12">
        <f>'Actual Values'!$B$21*'NOLH Designs (2)'!S6</f>
        <v>73.149999999999991</v>
      </c>
      <c r="T5" s="12">
        <f>'Actual Values'!$C$21*'NOLH Designs (2)'!S6</f>
        <v>43.05</v>
      </c>
      <c r="U5" s="12">
        <f>'Actual Values'!$A$25*'NOLH Designs (2)'!T6</f>
        <v>64.5</v>
      </c>
      <c r="V5" s="12">
        <f>'Actual Values'!$B$25*'NOLH Designs (2)'!T6</f>
        <v>104.92</v>
      </c>
      <c r="W5" s="12">
        <f>'Actual Values'!$A$13*'NOLH Designs (2)'!G6</f>
        <v>35.4</v>
      </c>
      <c r="X5" s="12">
        <f>'Actual Values'!$B$13*'NOLH Designs (2)'!H6</f>
        <v>82.2</v>
      </c>
      <c r="Y5" s="12">
        <f>'Actual Values'!$A$17*'NOLH Designs (2)'!Q6</f>
        <v>3.16</v>
      </c>
      <c r="Z5" s="12">
        <f>'Actual Values'!$B$17*'NOLH Designs (2)'!R6</f>
        <v>29.37</v>
      </c>
      <c r="AA5" s="12">
        <f>'Actual Values'!$C$17*'NOLH Designs (2)'!Q6</f>
        <v>1.58</v>
      </c>
      <c r="AB5" s="12">
        <f>'Actual Values'!$D$17*'NOLH Designs (2)'!R6</f>
        <v>13.35</v>
      </c>
      <c r="AC5" s="6">
        <v>0.66</v>
      </c>
      <c r="AD5" s="6">
        <v>0.24</v>
      </c>
      <c r="AE5" s="6">
        <v>0.21</v>
      </c>
      <c r="AF5" s="6">
        <v>0.88</v>
      </c>
      <c r="AG5" s="6">
        <v>0.28000000000000003</v>
      </c>
      <c r="AH5" s="6">
        <v>0.28999999999999998</v>
      </c>
      <c r="AI5" s="6">
        <v>0.28999999999999998</v>
      </c>
      <c r="AJ5" s="6">
        <v>0.25</v>
      </c>
    </row>
    <row r="6" spans="1:36" x14ac:dyDescent="0.2">
      <c r="A6" s="8">
        <v>132</v>
      </c>
      <c r="B6" s="6">
        <f>'Actual Values'!$B$3*'NOLH Designs (2)'!B7</f>
        <v>6203635.2000000002</v>
      </c>
      <c r="C6" s="6">
        <f>'Actual Values'!$B$5*'NOLH Designs (2)'!B7</f>
        <v>5442998.3999999994</v>
      </c>
      <c r="D6" s="6">
        <f>'Actual Values'!$B$7*'NOLH Designs (2)'!B7</f>
        <v>2856063</v>
      </c>
      <c r="E6" s="6">
        <f>'Actual Values'!$B$9*'NOLH Designs (2)'!B7</f>
        <v>2133266.94</v>
      </c>
      <c r="F6" s="12">
        <f>'Actual Values'!$C$3*'NOLH Designs (2)'!C7</f>
        <v>12057.6</v>
      </c>
      <c r="G6" s="12">
        <f>'Actual Values'!$C$3-'ExpValues Eq'!F6</f>
        <v>1193702.3999999999</v>
      </c>
      <c r="H6" s="12">
        <f>F6+'Actual Values'!$D$3</f>
        <v>235057.6</v>
      </c>
      <c r="I6" s="12">
        <f>'Actual Values'!$C$5*'NOLH Designs (2)'!D7</f>
        <v>402009.59999999998</v>
      </c>
      <c r="J6" s="12">
        <f>'Actual Values'!$C$5-'ExpValues Eq'!I6</f>
        <v>655910.40000000002</v>
      </c>
      <c r="K6" s="12">
        <f>I6+'Actual Values'!$D$5</f>
        <v>660009.6</v>
      </c>
      <c r="L6" s="12">
        <f>'Actual Values'!$C$7*'NOLH Designs (2)'!E7</f>
        <v>138778.5</v>
      </c>
      <c r="M6" s="12">
        <f>'Actual Values'!$C$7-'ExpValues Eq'!L6</f>
        <v>416335.5</v>
      </c>
      <c r="N6" s="12">
        <f>L6+'Actual Values'!$D$7</f>
        <v>312383.5</v>
      </c>
      <c r="O6" s="12">
        <f>'Actual Values'!$C$9*'NOLH Designs (2)'!F7</f>
        <v>62194.35</v>
      </c>
      <c r="P6" s="12">
        <f>'Actual Values'!$C$9-'ExpValues Eq'!O6</f>
        <v>352434.65</v>
      </c>
      <c r="Q6" s="12">
        <f>O6+'Actual Values'!$D$9</f>
        <v>111169.35</v>
      </c>
      <c r="R6" s="12">
        <f>'Actual Values'!$A$21*'NOLH Designs (2)'!S7</f>
        <v>42.699999999999996</v>
      </c>
      <c r="S6" s="12">
        <f>'Actual Values'!$B$21*'NOLH Designs (2)'!S7</f>
        <v>73.149999999999991</v>
      </c>
      <c r="T6" s="12">
        <f>'Actual Values'!$C$21*'NOLH Designs (2)'!S7</f>
        <v>43.05</v>
      </c>
      <c r="U6" s="12">
        <f>'Actual Values'!$A$25*'NOLH Designs (2)'!T7</f>
        <v>38.25</v>
      </c>
      <c r="V6" s="12">
        <f>'Actual Values'!$B$25*'NOLH Designs (2)'!T7</f>
        <v>62.22</v>
      </c>
      <c r="W6" s="12">
        <f>'Actual Values'!$A$13*'NOLH Designs (2)'!G7</f>
        <v>24.9</v>
      </c>
      <c r="X6" s="12">
        <f>'Actual Values'!$B$13*'NOLH Designs (2)'!H7</f>
        <v>71.399999999999991</v>
      </c>
      <c r="Y6" s="12">
        <f>'Actual Values'!$A$17*'NOLH Designs (2)'!Q7</f>
        <v>4.5199999999999996</v>
      </c>
      <c r="Z6" s="12">
        <f>'Actual Values'!$B$17*'NOLH Designs (2)'!R7</f>
        <v>38.279999999999994</v>
      </c>
      <c r="AA6" s="12">
        <f>'Actual Values'!$C$17*'NOLH Designs (2)'!Q7</f>
        <v>2.2599999999999998</v>
      </c>
      <c r="AB6" s="12">
        <f>'Actual Values'!$D$17*'NOLH Designs (2)'!R7</f>
        <v>17.399999999999999</v>
      </c>
      <c r="AC6" s="6">
        <v>0.79</v>
      </c>
      <c r="AD6" s="6">
        <v>0.28000000000000003</v>
      </c>
      <c r="AE6" s="6">
        <v>0.27</v>
      </c>
      <c r="AF6" s="6">
        <v>0.74</v>
      </c>
      <c r="AG6" s="6">
        <v>0.15</v>
      </c>
      <c r="AH6" s="6">
        <v>0.25</v>
      </c>
      <c r="AI6" s="6">
        <v>0.27</v>
      </c>
      <c r="AJ6" s="6">
        <v>0.3</v>
      </c>
    </row>
    <row r="7" spans="1:36" x14ac:dyDescent="0.2">
      <c r="A7" s="8">
        <v>133</v>
      </c>
      <c r="B7" s="6">
        <f>'Actual Values'!$B$3*'NOLH Designs (2)'!B8</f>
        <v>7532985.5999999996</v>
      </c>
      <c r="C7" s="6">
        <f>'Actual Values'!$B$5*'NOLH Designs (2)'!B8</f>
        <v>6609355.1999999993</v>
      </c>
      <c r="D7" s="6">
        <f>'Actual Values'!$B$7*'NOLH Designs (2)'!B8</f>
        <v>3468076.5</v>
      </c>
      <c r="E7" s="6">
        <f>'Actual Values'!$B$9*'NOLH Designs (2)'!B8</f>
        <v>2590395.5699999998</v>
      </c>
      <c r="F7" s="12">
        <f>'Actual Values'!$C$3*'NOLH Designs (2)'!C8</f>
        <v>590822.40000000002</v>
      </c>
      <c r="G7" s="12">
        <f>'Actual Values'!$C$3-'ExpValues Eq'!F7</f>
        <v>614937.59999999998</v>
      </c>
      <c r="H7" s="12">
        <f>F7+'Actual Values'!$D$3</f>
        <v>813822.4</v>
      </c>
      <c r="I7" s="12">
        <f>'Actual Values'!$C$5*'NOLH Designs (2)'!D8</f>
        <v>222163.19999999998</v>
      </c>
      <c r="J7" s="12">
        <f>'Actual Values'!$C$5-'ExpValues Eq'!I7</f>
        <v>835756.8</v>
      </c>
      <c r="K7" s="12">
        <f>I7+'Actual Values'!$D$5</f>
        <v>480163.19999999995</v>
      </c>
      <c r="L7" s="12">
        <f>'Actual Values'!$C$7*'NOLH Designs (2)'!E8</f>
        <v>66613.679999999993</v>
      </c>
      <c r="M7" s="12">
        <f>'Actual Values'!$C$7-'ExpValues Eq'!L7</f>
        <v>488500.32</v>
      </c>
      <c r="N7" s="12">
        <f>L7+'Actual Values'!$D$7</f>
        <v>240218.68</v>
      </c>
      <c r="O7" s="12">
        <f>'Actual Values'!$C$9*'NOLH Designs (2)'!F8</f>
        <v>66340.639999999999</v>
      </c>
      <c r="P7" s="12">
        <f>'Actual Values'!$C$9-'ExpValues Eq'!O7</f>
        <v>348288.36</v>
      </c>
      <c r="Q7" s="12">
        <f>O7+'Actual Values'!$D$9</f>
        <v>115315.64</v>
      </c>
      <c r="R7" s="12">
        <f>'Actual Values'!$A$21*'NOLH Designs (2)'!S8</f>
        <v>59.78</v>
      </c>
      <c r="S7" s="12">
        <f>'Actual Values'!$B$21*'NOLH Designs (2)'!S8</f>
        <v>102.41</v>
      </c>
      <c r="T7" s="12">
        <f>'Actual Values'!$C$21*'NOLH Designs (2)'!S8</f>
        <v>60.269999999999996</v>
      </c>
      <c r="U7" s="12">
        <f>'Actual Values'!$A$25*'NOLH Designs (2)'!T8</f>
        <v>60.750000000000007</v>
      </c>
      <c r="V7" s="12">
        <f>'Actual Values'!$B$25*'NOLH Designs (2)'!T8</f>
        <v>98.820000000000007</v>
      </c>
      <c r="W7" s="12">
        <f>'Actual Values'!$A$13*'NOLH Designs (2)'!G8</f>
        <v>41.4</v>
      </c>
      <c r="X7" s="12">
        <f>'Actual Values'!$B$13*'NOLH Designs (2)'!H8</f>
        <v>42.599999999999994</v>
      </c>
      <c r="Y7" s="12">
        <f>'Actual Values'!$A$17*'NOLH Designs (2)'!Q8</f>
        <v>3.8</v>
      </c>
      <c r="Z7" s="12">
        <f>'Actual Values'!$B$17*'NOLH Designs (2)'!R8</f>
        <v>29.04</v>
      </c>
      <c r="AA7" s="12">
        <f>'Actual Values'!$C$17*'NOLH Designs (2)'!Q8</f>
        <v>1.9</v>
      </c>
      <c r="AB7" s="12">
        <f>'Actual Values'!$D$17*'NOLH Designs (2)'!R8</f>
        <v>13.2</v>
      </c>
      <c r="AC7" s="6">
        <v>0.72</v>
      </c>
      <c r="AD7" s="6">
        <v>0.18</v>
      </c>
      <c r="AE7" s="6">
        <v>0.24</v>
      </c>
      <c r="AF7" s="6">
        <v>0.72</v>
      </c>
      <c r="AG7" s="6">
        <v>0.21</v>
      </c>
      <c r="AH7" s="6">
        <v>0.2</v>
      </c>
      <c r="AI7" s="6">
        <v>0.3</v>
      </c>
      <c r="AJ7" s="6">
        <v>0.23</v>
      </c>
    </row>
    <row r="8" spans="1:36" x14ac:dyDescent="0.2">
      <c r="A8" s="8">
        <v>134</v>
      </c>
      <c r="B8" s="6">
        <f>'Actual Values'!$B$3*'NOLH Designs (2)'!B9</f>
        <v>6583449.6000000006</v>
      </c>
      <c r="C8" s="6">
        <f>'Actual Values'!$B$5*'NOLH Designs (2)'!B9</f>
        <v>5776243.2000000002</v>
      </c>
      <c r="D8" s="6">
        <f>'Actual Values'!$B$7*'NOLH Designs (2)'!B9</f>
        <v>3030924</v>
      </c>
      <c r="E8" s="6">
        <f>'Actual Values'!$B$9*'NOLH Designs (2)'!B9</f>
        <v>2263875.12</v>
      </c>
      <c r="F8" s="12">
        <f>'Actual Values'!$C$3*'NOLH Designs (2)'!C9</f>
        <v>446131.20000000001</v>
      </c>
      <c r="G8" s="12">
        <f>'Actual Values'!$C$3-'ExpValues Eq'!F8</f>
        <v>759628.80000000005</v>
      </c>
      <c r="H8" s="12">
        <f>F8+'Actual Values'!$D$3</f>
        <v>669131.19999999995</v>
      </c>
      <c r="I8" s="12">
        <f>'Actual Values'!$C$5*'NOLH Designs (2)'!D9</f>
        <v>507801.59999999998</v>
      </c>
      <c r="J8" s="12">
        <f>'Actual Values'!$C$5-'ExpValues Eq'!I8</f>
        <v>550118.40000000002</v>
      </c>
      <c r="K8" s="12">
        <f>I8+'Actual Values'!$D$5</f>
        <v>765801.6</v>
      </c>
      <c r="L8" s="12">
        <f>'Actual Values'!$C$7*'NOLH Designs (2)'!E9</f>
        <v>172085.34</v>
      </c>
      <c r="M8" s="12">
        <f>'Actual Values'!$C$7-'ExpValues Eq'!L8</f>
        <v>383028.66000000003</v>
      </c>
      <c r="N8" s="12">
        <f>L8+'Actual Values'!$D$7</f>
        <v>345690.33999999997</v>
      </c>
      <c r="O8" s="12">
        <f>'Actual Values'!$C$9*'NOLH Designs (2)'!F9</f>
        <v>161705.31</v>
      </c>
      <c r="P8" s="12">
        <f>'Actual Values'!$C$9-'ExpValues Eq'!O8</f>
        <v>252923.69</v>
      </c>
      <c r="Q8" s="12">
        <f>O8+'Actual Values'!$D$9</f>
        <v>210680.31</v>
      </c>
      <c r="R8" s="12">
        <f>'Actual Values'!$A$21*'NOLH Designs (2)'!S9</f>
        <v>86.61999999999999</v>
      </c>
      <c r="S8" s="12">
        <f>'Actual Values'!$B$21*'NOLH Designs (2)'!S9</f>
        <v>148.38999999999999</v>
      </c>
      <c r="T8" s="12">
        <f>'Actual Values'!$C$21*'NOLH Designs (2)'!S9</f>
        <v>87.33</v>
      </c>
      <c r="U8" s="12">
        <f>'Actual Values'!$A$25*'NOLH Designs (2)'!T9</f>
        <v>74.25</v>
      </c>
      <c r="V8" s="12">
        <f>'Actual Values'!$B$25*'NOLH Designs (2)'!T9</f>
        <v>120.78</v>
      </c>
      <c r="W8" s="12">
        <f>'Actual Values'!$A$13*'NOLH Designs (2)'!G9</f>
        <v>39.6</v>
      </c>
      <c r="X8" s="12">
        <f>'Actual Values'!$B$13*'NOLH Designs (2)'!H9</f>
        <v>66.600000000000009</v>
      </c>
      <c r="Y8" s="12">
        <f>'Actual Values'!$A$17*'NOLH Designs (2)'!Q9</f>
        <v>3.04</v>
      </c>
      <c r="Z8" s="12">
        <f>'Actual Values'!$B$17*'NOLH Designs (2)'!R9</f>
        <v>33.33</v>
      </c>
      <c r="AA8" s="12">
        <f>'Actual Values'!$C$17*'NOLH Designs (2)'!Q9</f>
        <v>1.52</v>
      </c>
      <c r="AB8" s="12">
        <f>'Actual Values'!$D$17*'NOLH Designs (2)'!R9</f>
        <v>15.15</v>
      </c>
      <c r="AC8" s="6">
        <v>0.88</v>
      </c>
      <c r="AD8" s="6">
        <v>0.4</v>
      </c>
      <c r="AE8" s="6">
        <v>0.28999999999999998</v>
      </c>
      <c r="AF8" s="6">
        <v>0.63</v>
      </c>
      <c r="AG8" s="6">
        <v>0.4</v>
      </c>
      <c r="AH8" s="6">
        <v>0.36</v>
      </c>
      <c r="AI8" s="6">
        <v>0.15</v>
      </c>
      <c r="AJ8" s="6">
        <v>0.19</v>
      </c>
    </row>
    <row r="9" spans="1:36" x14ac:dyDescent="0.2">
      <c r="A9" s="8">
        <v>135</v>
      </c>
      <c r="B9" s="6">
        <f>'Actual Values'!$B$3*'NOLH Designs (2)'!B10</f>
        <v>5507308.7999999998</v>
      </c>
      <c r="C9" s="6">
        <f>'Actual Values'!$B$5*'NOLH Designs (2)'!B10</f>
        <v>4832049.5999999996</v>
      </c>
      <c r="D9" s="6">
        <f>'Actual Values'!$B$7*'NOLH Designs (2)'!B10</f>
        <v>2535484.5</v>
      </c>
      <c r="E9" s="6">
        <f>'Actual Values'!$B$9*'NOLH Designs (2)'!B10</f>
        <v>1893818.61</v>
      </c>
      <c r="F9" s="12">
        <f>'Actual Values'!$C$3*'NOLH Designs (2)'!C10</f>
        <v>301440</v>
      </c>
      <c r="G9" s="12">
        <f>'Actual Values'!$C$3-'ExpValues Eq'!F9</f>
        <v>904320</v>
      </c>
      <c r="H9" s="12">
        <f>F9+'Actual Values'!$D$3</f>
        <v>524440</v>
      </c>
      <c r="I9" s="12">
        <f>'Actual Values'!$C$5*'NOLH Designs (2)'!D10</f>
        <v>95212.800000000003</v>
      </c>
      <c r="J9" s="12">
        <f>'Actual Values'!$C$5-'ExpValues Eq'!I9</f>
        <v>962707.2</v>
      </c>
      <c r="K9" s="12">
        <f>I9+'Actual Values'!$D$5</f>
        <v>353212.8</v>
      </c>
      <c r="L9" s="12">
        <f>'Actual Values'!$C$7*'NOLH Designs (2)'!E10</f>
        <v>61062.54</v>
      </c>
      <c r="M9" s="12">
        <f>'Actual Values'!$C$7-'ExpValues Eq'!L9</f>
        <v>494051.46</v>
      </c>
      <c r="N9" s="12">
        <f>L9+'Actual Values'!$D$7</f>
        <v>234667.54</v>
      </c>
      <c r="O9" s="12">
        <f>'Actual Values'!$C$9*'NOLH Designs (2)'!F10</f>
        <v>178290.47</v>
      </c>
      <c r="P9" s="12">
        <f>'Actual Values'!$C$9-'ExpValues Eq'!O9</f>
        <v>236338.53</v>
      </c>
      <c r="Q9" s="12">
        <f>O9+'Actual Values'!$D$9</f>
        <v>227265.47</v>
      </c>
      <c r="R9" s="12">
        <f>'Actual Values'!$A$21*'NOLH Designs (2)'!S10</f>
        <v>62.22</v>
      </c>
      <c r="S9" s="12">
        <f>'Actual Values'!$B$21*'NOLH Designs (2)'!S10</f>
        <v>106.59</v>
      </c>
      <c r="T9" s="12">
        <f>'Actual Values'!$C$21*'NOLH Designs (2)'!S10</f>
        <v>62.730000000000004</v>
      </c>
      <c r="U9" s="12">
        <f>'Actual Values'!$A$25*'NOLH Designs (2)'!T10</f>
        <v>23.25</v>
      </c>
      <c r="V9" s="12">
        <f>'Actual Values'!$B$25*'NOLH Designs (2)'!T10</f>
        <v>37.82</v>
      </c>
      <c r="W9" s="12">
        <f>'Actual Values'!$A$13*'NOLH Designs (2)'!G10</f>
        <v>20.100000000000001</v>
      </c>
      <c r="X9" s="12">
        <f>'Actual Values'!$B$13*'NOLH Designs (2)'!H10</f>
        <v>49.199999999999996</v>
      </c>
      <c r="Y9" s="12">
        <f>'Actual Values'!$A$17*'NOLH Designs (2)'!Q10</f>
        <v>4.72</v>
      </c>
      <c r="Z9" s="12">
        <f>'Actual Values'!$B$17*'NOLH Designs (2)'!R10</f>
        <v>25.080000000000002</v>
      </c>
      <c r="AA9" s="12">
        <f>'Actual Values'!$C$17*'NOLH Designs (2)'!Q10</f>
        <v>2.36</v>
      </c>
      <c r="AB9" s="12">
        <f>'Actual Values'!$D$17*'NOLH Designs (2)'!R10</f>
        <v>11.4</v>
      </c>
      <c r="AC9" s="6">
        <v>0.61</v>
      </c>
      <c r="AD9" s="6">
        <v>0.18</v>
      </c>
      <c r="AE9" s="6">
        <v>0.14000000000000001</v>
      </c>
      <c r="AF9" s="6">
        <v>0.65</v>
      </c>
      <c r="AG9" s="6">
        <v>0.4</v>
      </c>
      <c r="AH9" s="6">
        <v>0.28999999999999998</v>
      </c>
      <c r="AI9" s="6">
        <v>0.2</v>
      </c>
      <c r="AJ9" s="6">
        <v>0.16</v>
      </c>
    </row>
    <row r="10" spans="1:36" x14ac:dyDescent="0.2">
      <c r="A10" s="8">
        <v>136</v>
      </c>
      <c r="B10" s="6">
        <f>'Actual Values'!$B$3*'NOLH Designs (2)'!B11</f>
        <v>4874284.8</v>
      </c>
      <c r="C10" s="6">
        <f>'Actual Values'!$B$5*'NOLH Designs (2)'!B11</f>
        <v>4276641.6000000006</v>
      </c>
      <c r="D10" s="6">
        <f>'Actual Values'!$B$7*'NOLH Designs (2)'!B11</f>
        <v>2244049.5</v>
      </c>
      <c r="E10" s="6">
        <f>'Actual Values'!$B$9*'NOLH Designs (2)'!B11</f>
        <v>1676138.31</v>
      </c>
      <c r="F10" s="12">
        <f>'Actual Values'!$C$3*'NOLH Designs (2)'!C11</f>
        <v>361728</v>
      </c>
      <c r="G10" s="12">
        <f>'Actual Values'!$C$3-'ExpValues Eq'!F10</f>
        <v>844032</v>
      </c>
      <c r="H10" s="12">
        <f>F10+'Actual Values'!$D$3</f>
        <v>584728</v>
      </c>
      <c r="I10" s="12">
        <f>'Actual Values'!$C$5*'NOLH Designs (2)'!D11</f>
        <v>433747.19999999995</v>
      </c>
      <c r="J10" s="12">
        <f>'Actual Values'!$C$5-'ExpValues Eq'!I10</f>
        <v>624172.80000000005</v>
      </c>
      <c r="K10" s="12">
        <f>I10+'Actual Values'!$D$5</f>
        <v>691747.2</v>
      </c>
      <c r="L10" s="12">
        <f>'Actual Values'!$C$7*'NOLH Designs (2)'!E11</f>
        <v>133227.35999999999</v>
      </c>
      <c r="M10" s="12">
        <f>'Actual Values'!$C$7-'ExpValues Eq'!L10</f>
        <v>421886.64</v>
      </c>
      <c r="N10" s="12">
        <f>L10+'Actual Values'!$D$7</f>
        <v>306832.36</v>
      </c>
      <c r="O10" s="12">
        <f>'Actual Values'!$C$9*'NOLH Designs (2)'!F11</f>
        <v>199021.91999999998</v>
      </c>
      <c r="P10" s="12">
        <f>'Actual Values'!$C$9-'ExpValues Eq'!O10</f>
        <v>215607.08000000002</v>
      </c>
      <c r="Q10" s="12">
        <f>O10+'Actual Values'!$D$9</f>
        <v>247996.91999999998</v>
      </c>
      <c r="R10" s="12">
        <f>'Actual Values'!$A$21*'NOLH Designs (2)'!S11</f>
        <v>79.3</v>
      </c>
      <c r="S10" s="12">
        <f>'Actual Values'!$B$21*'NOLH Designs (2)'!S11</f>
        <v>135.85</v>
      </c>
      <c r="T10" s="12">
        <f>'Actual Values'!$C$21*'NOLH Designs (2)'!S11</f>
        <v>79.95</v>
      </c>
      <c r="U10" s="12">
        <f>'Actual Values'!$A$25*'NOLH Designs (2)'!T11</f>
        <v>43.5</v>
      </c>
      <c r="V10" s="12">
        <f>'Actual Values'!$B$25*'NOLH Designs (2)'!T11</f>
        <v>70.759999999999991</v>
      </c>
      <c r="W10" s="12">
        <f>'Actual Values'!$A$13*'NOLH Designs (2)'!G11</f>
        <v>39.900000000000006</v>
      </c>
      <c r="X10" s="12">
        <f>'Actual Values'!$B$13*'NOLH Designs (2)'!H11</f>
        <v>75.599999999999994</v>
      </c>
      <c r="Y10" s="12">
        <f>'Actual Values'!$A$17*'NOLH Designs (2)'!Q11</f>
        <v>3.52</v>
      </c>
      <c r="Z10" s="12">
        <f>'Actual Values'!$B$17*'NOLH Designs (2)'!R11</f>
        <v>40.589999999999996</v>
      </c>
      <c r="AA10" s="12">
        <f>'Actual Values'!$C$17*'NOLH Designs (2)'!Q11</f>
        <v>1.76</v>
      </c>
      <c r="AB10" s="12">
        <f>'Actual Values'!$D$17*'NOLH Designs (2)'!R11</f>
        <v>18.45</v>
      </c>
      <c r="AC10" s="6">
        <v>0.88</v>
      </c>
      <c r="AD10" s="6">
        <v>0.39</v>
      </c>
      <c r="AE10" s="6">
        <v>0.32</v>
      </c>
      <c r="AF10" s="6">
        <v>0.81</v>
      </c>
      <c r="AG10" s="6">
        <v>0.13</v>
      </c>
      <c r="AH10" s="6">
        <v>0.1</v>
      </c>
      <c r="AI10" s="6">
        <v>0.12</v>
      </c>
      <c r="AJ10" s="6">
        <v>0.19</v>
      </c>
    </row>
    <row r="11" spans="1:36" x14ac:dyDescent="0.2">
      <c r="A11" s="8">
        <v>137</v>
      </c>
      <c r="B11" s="6">
        <f>'Actual Values'!$B$3*'NOLH Designs (2)'!B12</f>
        <v>6899961.6000000006</v>
      </c>
      <c r="C11" s="6">
        <f>'Actual Values'!$B$5*'NOLH Designs (2)'!B12</f>
        <v>6053947.2000000002</v>
      </c>
      <c r="D11" s="6">
        <f>'Actual Values'!$B$7*'NOLH Designs (2)'!B12</f>
        <v>3176641.5000000005</v>
      </c>
      <c r="E11" s="6">
        <f>'Actual Values'!$B$9*'NOLH Designs (2)'!B12</f>
        <v>2372715.27</v>
      </c>
      <c r="F11" s="12">
        <f>'Actual Values'!$C$3*'NOLH Designs (2)'!C12</f>
        <v>144691.19999999998</v>
      </c>
      <c r="G11" s="12">
        <f>'Actual Values'!$C$3-'ExpValues Eq'!F11</f>
        <v>1061068.8</v>
      </c>
      <c r="H11" s="12">
        <f>F11+'Actual Values'!$D$3</f>
        <v>367691.19999999995</v>
      </c>
      <c r="I11" s="12">
        <f>'Actual Values'!$C$5*'NOLH Designs (2)'!D12</f>
        <v>52896</v>
      </c>
      <c r="J11" s="12">
        <f>'Actual Values'!$C$5-'ExpValues Eq'!I11</f>
        <v>1005024</v>
      </c>
      <c r="K11" s="12">
        <f>I11+'Actual Values'!$D$5</f>
        <v>310896</v>
      </c>
      <c r="L11" s="12">
        <f>'Actual Values'!$C$7*'NOLH Designs (2)'!E12</f>
        <v>155431.92000000001</v>
      </c>
      <c r="M11" s="12">
        <f>'Actual Values'!$C$7-'ExpValues Eq'!L11</f>
        <v>399682.07999999996</v>
      </c>
      <c r="N11" s="12">
        <f>L11+'Actual Values'!$D$7</f>
        <v>329036.92000000004</v>
      </c>
      <c r="O11" s="12">
        <f>'Actual Values'!$C$9*'NOLH Designs (2)'!F12</f>
        <v>49755.479999999996</v>
      </c>
      <c r="P11" s="12">
        <f>'Actual Values'!$C$9-'ExpValues Eq'!O11</f>
        <v>364873.52</v>
      </c>
      <c r="Q11" s="12">
        <f>O11+'Actual Values'!$D$9</f>
        <v>98730.48</v>
      </c>
      <c r="R11" s="12">
        <f>'Actual Values'!$A$21*'NOLH Designs (2)'!S12</f>
        <v>93.94</v>
      </c>
      <c r="S11" s="12">
        <f>'Actual Values'!$B$21*'NOLH Designs (2)'!S12</f>
        <v>160.93</v>
      </c>
      <c r="T11" s="12">
        <f>'Actual Values'!$C$21*'NOLH Designs (2)'!S12</f>
        <v>94.710000000000008</v>
      </c>
      <c r="U11" s="12">
        <f>'Actual Values'!$A$25*'NOLH Designs (2)'!T12</f>
        <v>48</v>
      </c>
      <c r="V11" s="12">
        <f>'Actual Values'!$B$25*'NOLH Designs (2)'!T12</f>
        <v>78.08</v>
      </c>
      <c r="W11" s="12">
        <f>'Actual Values'!$A$13*'NOLH Designs (2)'!G12</f>
        <v>18.3</v>
      </c>
      <c r="X11" s="12">
        <f>'Actual Values'!$B$13*'NOLH Designs (2)'!H12</f>
        <v>51</v>
      </c>
      <c r="Y11" s="12">
        <f>'Actual Values'!$A$17*'NOLH Designs (2)'!Q12</f>
        <v>4.8</v>
      </c>
      <c r="Z11" s="12">
        <f>'Actual Values'!$B$17*'NOLH Designs (2)'!R12</f>
        <v>27.72</v>
      </c>
      <c r="AA11" s="12">
        <f>'Actual Values'!$C$17*'NOLH Designs (2)'!Q12</f>
        <v>2.4</v>
      </c>
      <c r="AB11" s="12">
        <f>'Actual Values'!$D$17*'NOLH Designs (2)'!R12</f>
        <v>12.6</v>
      </c>
      <c r="AC11" s="6">
        <v>0.6</v>
      </c>
      <c r="AD11" s="6">
        <v>0.19</v>
      </c>
      <c r="AE11" s="6">
        <v>0.16</v>
      </c>
      <c r="AF11" s="6">
        <v>0.75</v>
      </c>
      <c r="AG11" s="6">
        <v>0.13</v>
      </c>
      <c r="AH11" s="6">
        <v>0.15</v>
      </c>
      <c r="AI11" s="6">
        <v>0.16</v>
      </c>
      <c r="AJ11" s="6">
        <v>0.17</v>
      </c>
    </row>
    <row r="12" spans="1:36" x14ac:dyDescent="0.2">
      <c r="A12" s="8">
        <v>138</v>
      </c>
      <c r="B12" s="6">
        <f>'Actual Values'!$B$3*'NOLH Designs (2)'!B13</f>
        <v>7849497.5999999996</v>
      </c>
      <c r="C12" s="6">
        <f>'Actual Values'!$B$5*'NOLH Designs (2)'!B13</f>
        <v>6887059.2000000002</v>
      </c>
      <c r="D12" s="6">
        <f>'Actual Values'!$B$7*'NOLH Designs (2)'!B13</f>
        <v>3613794</v>
      </c>
      <c r="E12" s="6">
        <f>'Actual Values'!$B$9*'NOLH Designs (2)'!B13</f>
        <v>2699235.72</v>
      </c>
      <c r="F12" s="12">
        <f>'Actual Values'!$C$3*'NOLH Designs (2)'!C13</f>
        <v>313497.60000000003</v>
      </c>
      <c r="G12" s="12">
        <f>'Actual Values'!$C$3-'ExpValues Eq'!F12</f>
        <v>892262.39999999991</v>
      </c>
      <c r="H12" s="12">
        <f>F12+'Actual Values'!$D$3</f>
        <v>536497.60000000009</v>
      </c>
      <c r="I12" s="12">
        <f>'Actual Values'!$C$5*'NOLH Designs (2)'!D13</f>
        <v>63475.199999999997</v>
      </c>
      <c r="J12" s="12">
        <f>'Actual Values'!$C$5-'ExpValues Eq'!I12</f>
        <v>994444.80000000005</v>
      </c>
      <c r="K12" s="12">
        <f>I12+'Actual Values'!$D$5</f>
        <v>321475.20000000001</v>
      </c>
      <c r="L12" s="12">
        <f>'Actual Values'!$C$7*'NOLH Designs (2)'!E13</f>
        <v>77715.960000000006</v>
      </c>
      <c r="M12" s="12">
        <f>'Actual Values'!$C$7-'ExpValues Eq'!L12</f>
        <v>477398.04</v>
      </c>
      <c r="N12" s="12">
        <f>L12+'Actual Values'!$D$7</f>
        <v>251320.96000000002</v>
      </c>
      <c r="O12" s="12">
        <f>'Actual Values'!$C$9*'NOLH Designs (2)'!F13</f>
        <v>33170.32</v>
      </c>
      <c r="P12" s="12">
        <f>'Actual Values'!$C$9-'ExpValues Eq'!O12</f>
        <v>381458.68</v>
      </c>
      <c r="Q12" s="12">
        <f>O12+'Actual Values'!$D$9</f>
        <v>82145.320000000007</v>
      </c>
      <c r="R12" s="12">
        <f>'Actual Values'!$A$21*'NOLH Designs (2)'!S13</f>
        <v>75.64</v>
      </c>
      <c r="S12" s="12">
        <f>'Actual Values'!$B$21*'NOLH Designs (2)'!S13</f>
        <v>129.58000000000001</v>
      </c>
      <c r="T12" s="12">
        <f>'Actual Values'!$C$21*'NOLH Designs (2)'!S13</f>
        <v>76.260000000000005</v>
      </c>
      <c r="U12" s="12">
        <f>'Actual Values'!$A$25*'NOLH Designs (2)'!T13</f>
        <v>29.25</v>
      </c>
      <c r="V12" s="12">
        <f>'Actual Values'!$B$25*'NOLH Designs (2)'!T13</f>
        <v>47.58</v>
      </c>
      <c r="W12" s="12">
        <f>'Actual Values'!$A$13*'NOLH Designs (2)'!G13</f>
        <v>29.4</v>
      </c>
      <c r="X12" s="12">
        <f>'Actual Values'!$B$13*'NOLH Designs (2)'!H13</f>
        <v>44.4</v>
      </c>
      <c r="Y12" s="12">
        <f>'Actual Values'!$A$17*'NOLH Designs (2)'!Q13</f>
        <v>4.3600000000000003</v>
      </c>
      <c r="Z12" s="12">
        <f>'Actual Values'!$B$17*'NOLH Designs (2)'!R13</f>
        <v>34.980000000000004</v>
      </c>
      <c r="AA12" s="12">
        <f>'Actual Values'!$C$17*'NOLH Designs (2)'!Q13</f>
        <v>2.1800000000000002</v>
      </c>
      <c r="AB12" s="12">
        <f>'Actual Values'!$D$17*'NOLH Designs (2)'!R13</f>
        <v>15.9</v>
      </c>
      <c r="AC12" s="6">
        <v>0.73</v>
      </c>
      <c r="AD12" s="6">
        <v>0.32</v>
      </c>
      <c r="AE12" s="6">
        <v>0.36</v>
      </c>
      <c r="AF12" s="6">
        <v>0.82</v>
      </c>
      <c r="AG12" s="6">
        <v>0.18</v>
      </c>
      <c r="AH12" s="6">
        <v>0.28000000000000003</v>
      </c>
      <c r="AI12" s="6">
        <v>0.15</v>
      </c>
      <c r="AJ12" s="6">
        <v>0.28999999999999998</v>
      </c>
    </row>
    <row r="13" spans="1:36" x14ac:dyDescent="0.2">
      <c r="A13" s="8">
        <v>139</v>
      </c>
      <c r="B13" s="6">
        <f>'Actual Values'!$B$3*'NOLH Designs (2)'!B14</f>
        <v>5064192</v>
      </c>
      <c r="C13" s="6">
        <f>'Actual Values'!$B$5*'NOLH Designs (2)'!B14</f>
        <v>4443264</v>
      </c>
      <c r="D13" s="6">
        <f>'Actual Values'!$B$7*'NOLH Designs (2)'!B14</f>
        <v>2331480</v>
      </c>
      <c r="E13" s="6">
        <f>'Actual Values'!$B$9*'NOLH Designs (2)'!B14</f>
        <v>1741442.4000000001</v>
      </c>
      <c r="F13" s="12">
        <f>'Actual Values'!$C$3*'NOLH Designs (2)'!C14</f>
        <v>229094.39999999999</v>
      </c>
      <c r="G13" s="12">
        <f>'Actual Values'!$C$3-'ExpValues Eq'!F13</f>
        <v>976665.59999999998</v>
      </c>
      <c r="H13" s="12">
        <f>F13+'Actual Values'!$D$3</f>
        <v>452094.4</v>
      </c>
      <c r="I13" s="12">
        <f>'Actual Values'!$C$5*'NOLH Designs (2)'!D14</f>
        <v>402009.59999999998</v>
      </c>
      <c r="J13" s="12">
        <f>'Actual Values'!$C$5-'ExpValues Eq'!I13</f>
        <v>655910.40000000002</v>
      </c>
      <c r="K13" s="12">
        <f>I13+'Actual Values'!$D$5</f>
        <v>660009.6</v>
      </c>
      <c r="L13" s="12">
        <f>'Actual Values'!$C$7*'NOLH Designs (2)'!E14</f>
        <v>105471.66</v>
      </c>
      <c r="M13" s="12">
        <f>'Actual Values'!$C$7-'ExpValues Eq'!L13</f>
        <v>449642.33999999997</v>
      </c>
      <c r="N13" s="12">
        <f>L13+'Actual Values'!$D$7</f>
        <v>279076.66000000003</v>
      </c>
      <c r="O13" s="12">
        <f>'Actual Values'!$C$9*'NOLH Designs (2)'!F14</f>
        <v>132681.28</v>
      </c>
      <c r="P13" s="12">
        <f>'Actual Values'!$C$9-'ExpValues Eq'!O13</f>
        <v>281947.71999999997</v>
      </c>
      <c r="Q13" s="12">
        <f>O13+'Actual Values'!$D$9</f>
        <v>181656.28</v>
      </c>
      <c r="R13" s="12">
        <f>'Actual Values'!$A$21*'NOLH Designs (2)'!S14</f>
        <v>111.02000000000001</v>
      </c>
      <c r="S13" s="12">
        <f>'Actual Values'!$B$21*'NOLH Designs (2)'!S14</f>
        <v>190.19</v>
      </c>
      <c r="T13" s="12">
        <f>'Actual Values'!$C$21*'NOLH Designs (2)'!S14</f>
        <v>111.93</v>
      </c>
      <c r="U13" s="12">
        <f>'Actual Values'!$A$25*'NOLH Designs (2)'!T14</f>
        <v>54</v>
      </c>
      <c r="V13" s="12">
        <f>'Actual Values'!$B$25*'NOLH Designs (2)'!T14</f>
        <v>87.84</v>
      </c>
      <c r="W13" s="12">
        <f>'Actual Values'!$A$13*'NOLH Designs (2)'!G14</f>
        <v>26.1</v>
      </c>
      <c r="X13" s="12">
        <f>'Actual Values'!$B$13*'NOLH Designs (2)'!H14</f>
        <v>80.400000000000006</v>
      </c>
      <c r="Y13" s="12">
        <f>'Actual Values'!$A$17*'NOLH Designs (2)'!Q14</f>
        <v>3.32</v>
      </c>
      <c r="Z13" s="12">
        <f>'Actual Values'!$B$17*'NOLH Designs (2)'!R14</f>
        <v>30.360000000000003</v>
      </c>
      <c r="AA13" s="12">
        <f>'Actual Values'!$C$17*'NOLH Designs (2)'!Q14</f>
        <v>1.66</v>
      </c>
      <c r="AB13" s="12">
        <f>'Actual Values'!$D$17*'NOLH Designs (2)'!R14</f>
        <v>13.8</v>
      </c>
      <c r="AC13" s="6">
        <v>0.76</v>
      </c>
      <c r="AD13" s="6">
        <v>0.16</v>
      </c>
      <c r="AE13" s="6">
        <v>0.14000000000000001</v>
      </c>
      <c r="AF13" s="6">
        <v>0.75</v>
      </c>
      <c r="AG13" s="6">
        <v>0.14000000000000001</v>
      </c>
      <c r="AH13" s="6">
        <v>0.31</v>
      </c>
      <c r="AI13" s="6">
        <v>0.12</v>
      </c>
      <c r="AJ13" s="6">
        <v>0.28000000000000003</v>
      </c>
    </row>
    <row r="14" spans="1:36" x14ac:dyDescent="0.2">
      <c r="A14" s="8">
        <v>140</v>
      </c>
      <c r="B14" s="6">
        <f>'Actual Values'!$B$3*'NOLH Designs (2)'!B15</f>
        <v>5507308.7999999998</v>
      </c>
      <c r="C14" s="6">
        <f>'Actual Values'!$B$5*'NOLH Designs (2)'!B15</f>
        <v>4832049.5999999996</v>
      </c>
      <c r="D14" s="6">
        <f>'Actual Values'!$B$7*'NOLH Designs (2)'!B15</f>
        <v>2535484.5</v>
      </c>
      <c r="E14" s="6">
        <f>'Actual Values'!$B$9*'NOLH Designs (2)'!B15</f>
        <v>1893818.61</v>
      </c>
      <c r="F14" s="12">
        <f>'Actual Values'!$C$3*'NOLH Designs (2)'!C15</f>
        <v>434073.59999999998</v>
      </c>
      <c r="G14" s="12">
        <f>'Actual Values'!$C$3-'ExpValues Eq'!F14</f>
        <v>771686.40000000002</v>
      </c>
      <c r="H14" s="12">
        <f>F14+'Actual Values'!$D$3</f>
        <v>657073.6</v>
      </c>
      <c r="I14" s="12">
        <f>'Actual Values'!$C$5*'NOLH Designs (2)'!D15</f>
        <v>476064</v>
      </c>
      <c r="J14" s="12">
        <f>'Actual Values'!$C$5-'ExpValues Eq'!I14</f>
        <v>581856</v>
      </c>
      <c r="K14" s="12">
        <f>I14+'Actual Values'!$D$5</f>
        <v>734064</v>
      </c>
      <c r="L14" s="12">
        <f>'Actual Values'!$C$7*'NOLH Designs (2)'!E15</f>
        <v>22204.560000000001</v>
      </c>
      <c r="M14" s="12">
        <f>'Actual Values'!$C$7-'ExpValues Eq'!L14</f>
        <v>532909.43999999994</v>
      </c>
      <c r="N14" s="12">
        <f>L14+'Actual Values'!$D$7</f>
        <v>195809.56</v>
      </c>
      <c r="O14" s="12">
        <f>'Actual Values'!$C$9*'NOLH Designs (2)'!F15</f>
        <v>169997.88999999998</v>
      </c>
      <c r="P14" s="12">
        <f>'Actual Values'!$C$9-'ExpValues Eq'!O14</f>
        <v>244631.11000000002</v>
      </c>
      <c r="Q14" s="12">
        <f>O14+'Actual Values'!$D$9</f>
        <v>218972.88999999998</v>
      </c>
      <c r="R14" s="12">
        <f>'Actual Values'!$A$21*'NOLH Designs (2)'!S15</f>
        <v>120.78</v>
      </c>
      <c r="S14" s="12">
        <f>'Actual Values'!$B$21*'NOLH Designs (2)'!S15</f>
        <v>206.91</v>
      </c>
      <c r="T14" s="12">
        <f>'Actual Values'!$C$21*'NOLH Designs (2)'!S15</f>
        <v>121.77</v>
      </c>
      <c r="U14" s="12">
        <f>'Actual Values'!$A$25*'NOLH Designs (2)'!T15</f>
        <v>63.75</v>
      </c>
      <c r="V14" s="12">
        <f>'Actual Values'!$B$25*'NOLH Designs (2)'!T15</f>
        <v>103.7</v>
      </c>
      <c r="W14" s="12">
        <f>'Actual Values'!$A$13*'NOLH Designs (2)'!G15</f>
        <v>27.6</v>
      </c>
      <c r="X14" s="12">
        <f>'Actual Values'!$B$13*'NOLH Designs (2)'!H15</f>
        <v>60.6</v>
      </c>
      <c r="Y14" s="12">
        <f>'Actual Values'!$A$17*'NOLH Designs (2)'!Q15</f>
        <v>3.56</v>
      </c>
      <c r="Z14" s="12">
        <f>'Actual Values'!$B$17*'NOLH Designs (2)'!R15</f>
        <v>37.949999999999996</v>
      </c>
      <c r="AA14" s="12">
        <f>'Actual Values'!$C$17*'NOLH Designs (2)'!Q15</f>
        <v>1.78</v>
      </c>
      <c r="AB14" s="12">
        <f>'Actual Values'!$D$17*'NOLH Designs (2)'!R15</f>
        <v>17.25</v>
      </c>
      <c r="AC14" s="6">
        <v>0.67</v>
      </c>
      <c r="AD14" s="6">
        <v>0.28999999999999998</v>
      </c>
      <c r="AE14" s="6">
        <v>0.35</v>
      </c>
      <c r="AF14" s="6">
        <v>0.65</v>
      </c>
      <c r="AG14" s="6">
        <v>0.26</v>
      </c>
      <c r="AH14" s="6">
        <v>0.18</v>
      </c>
      <c r="AI14" s="6">
        <v>0.15</v>
      </c>
      <c r="AJ14" s="6">
        <v>0.25</v>
      </c>
    </row>
    <row r="15" spans="1:36" x14ac:dyDescent="0.2">
      <c r="A15" s="8">
        <v>141</v>
      </c>
      <c r="B15" s="6">
        <f>'Actual Values'!$B$3*'NOLH Designs (2)'!B16</f>
        <v>6836659.2000000002</v>
      </c>
      <c r="C15" s="6">
        <f>'Actual Values'!$B$5*'NOLH Designs (2)'!B16</f>
        <v>5998406.4000000004</v>
      </c>
      <c r="D15" s="6">
        <f>'Actual Values'!$B$7*'NOLH Designs (2)'!B16</f>
        <v>3147498</v>
      </c>
      <c r="E15" s="6">
        <f>'Actual Values'!$B$9*'NOLH Designs (2)'!B16</f>
        <v>2350947.2400000002</v>
      </c>
      <c r="F15" s="12">
        <f>'Actual Values'!$C$3*'NOLH Designs (2)'!C16</f>
        <v>566707.19999999995</v>
      </c>
      <c r="G15" s="12">
        <f>'Actual Values'!$C$3-'ExpValues Eq'!F15</f>
        <v>639052.80000000005</v>
      </c>
      <c r="H15" s="12">
        <f>F15+'Actual Values'!$D$3</f>
        <v>789707.2</v>
      </c>
      <c r="I15" s="12">
        <f>'Actual Values'!$C$5*'NOLH Designs (2)'!D16</f>
        <v>148108.80000000002</v>
      </c>
      <c r="J15" s="12">
        <f>'Actual Values'!$C$5-'ExpValues Eq'!I15</f>
        <v>909811.19999999995</v>
      </c>
      <c r="K15" s="12">
        <f>I15+'Actual Values'!$D$5</f>
        <v>406108.80000000005</v>
      </c>
      <c r="L15" s="12">
        <f>'Actual Values'!$C$7*'NOLH Designs (2)'!E16</f>
        <v>199841.03999999998</v>
      </c>
      <c r="M15" s="12">
        <f>'Actual Values'!$C$7-'ExpValues Eq'!L15</f>
        <v>355272.96000000002</v>
      </c>
      <c r="N15" s="12">
        <f>L15+'Actual Values'!$D$7</f>
        <v>373446.04</v>
      </c>
      <c r="O15" s="12">
        <f>'Actual Values'!$C$9*'NOLH Designs (2)'!F16</f>
        <v>20731.45</v>
      </c>
      <c r="P15" s="12">
        <f>'Actual Values'!$C$9-'ExpValues Eq'!O15</f>
        <v>393897.55</v>
      </c>
      <c r="Q15" s="12">
        <f>O15+'Actual Values'!$D$9</f>
        <v>69706.45</v>
      </c>
      <c r="R15" s="12">
        <f>'Actual Values'!$A$21*'NOLH Designs (2)'!S16</f>
        <v>78.08</v>
      </c>
      <c r="S15" s="12">
        <f>'Actual Values'!$B$21*'NOLH Designs (2)'!S16</f>
        <v>133.76</v>
      </c>
      <c r="T15" s="12">
        <f>'Actual Values'!$C$21*'NOLH Designs (2)'!S16</f>
        <v>78.72</v>
      </c>
      <c r="U15" s="12">
        <f>'Actual Values'!$A$25*'NOLH Designs (2)'!T16</f>
        <v>30.749999999999996</v>
      </c>
      <c r="V15" s="12">
        <f>'Actual Values'!$B$25*'NOLH Designs (2)'!T16</f>
        <v>50.019999999999996</v>
      </c>
      <c r="W15" s="12">
        <f>'Actual Values'!$A$13*'NOLH Designs (2)'!G16</f>
        <v>37.5</v>
      </c>
      <c r="X15" s="12">
        <f>'Actual Values'!$B$13*'NOLH Designs (2)'!H16</f>
        <v>42</v>
      </c>
      <c r="Y15" s="12">
        <f>'Actual Values'!$A$17*'NOLH Designs (2)'!Q16</f>
        <v>3.76</v>
      </c>
      <c r="Z15" s="12">
        <f>'Actual Values'!$B$17*'NOLH Designs (2)'!R16</f>
        <v>25.740000000000002</v>
      </c>
      <c r="AA15" s="12">
        <f>'Actual Values'!$C$17*'NOLH Designs (2)'!Q16</f>
        <v>1.88</v>
      </c>
      <c r="AB15" s="12">
        <f>'Actual Values'!$D$17*'NOLH Designs (2)'!R16</f>
        <v>11.700000000000001</v>
      </c>
      <c r="AC15" s="6">
        <v>0.87</v>
      </c>
      <c r="AD15" s="6">
        <v>0.18</v>
      </c>
      <c r="AE15" s="6">
        <v>0.19</v>
      </c>
      <c r="AF15" s="6">
        <v>0.67</v>
      </c>
      <c r="AG15" s="6">
        <v>0.3</v>
      </c>
      <c r="AH15" s="6">
        <v>0.18</v>
      </c>
      <c r="AI15" s="6">
        <v>0.19</v>
      </c>
      <c r="AJ15" s="6">
        <v>0.27</v>
      </c>
    </row>
    <row r="16" spans="1:36" x14ac:dyDescent="0.2">
      <c r="A16" s="8">
        <v>142</v>
      </c>
      <c r="B16" s="6">
        <f>'Actual Values'!$B$3*'NOLH Designs (2)'!B17</f>
        <v>7216473.5999999996</v>
      </c>
      <c r="C16" s="6">
        <f>'Actual Values'!$B$5*'NOLH Designs (2)'!B17</f>
        <v>6331651.1999999993</v>
      </c>
      <c r="D16" s="6">
        <f>'Actual Values'!$B$7*'NOLH Designs (2)'!B17</f>
        <v>3322358.9999999995</v>
      </c>
      <c r="E16" s="6">
        <f>'Actual Values'!$B$9*'NOLH Designs (2)'!B17</f>
        <v>2481555.42</v>
      </c>
      <c r="F16" s="12">
        <f>'Actual Values'!$C$3*'NOLH Designs (2)'!C17</f>
        <v>132633.60000000001</v>
      </c>
      <c r="G16" s="12">
        <f>'Actual Values'!$C$3-'ExpValues Eq'!F16</f>
        <v>1073126.3999999999</v>
      </c>
      <c r="H16" s="12">
        <f>F16+'Actual Values'!$D$3</f>
        <v>355633.6</v>
      </c>
      <c r="I16" s="12">
        <f>'Actual Values'!$C$5*'NOLH Designs (2)'!D17</f>
        <v>31737.599999999999</v>
      </c>
      <c r="J16" s="12">
        <f>'Actual Values'!$C$5-'ExpValues Eq'!I16</f>
        <v>1026182.4</v>
      </c>
      <c r="K16" s="12">
        <f>I16+'Actual Values'!$D$5</f>
        <v>289737.59999999998</v>
      </c>
      <c r="L16" s="12">
        <f>'Actual Values'!$C$7*'NOLH Designs (2)'!E17</f>
        <v>266454.71999999997</v>
      </c>
      <c r="M16" s="12">
        <f>'Actual Values'!$C$7-'ExpValues Eq'!L16</f>
        <v>288659.28000000003</v>
      </c>
      <c r="N16" s="12">
        <f>L16+'Actual Values'!$D$7</f>
        <v>440059.72</v>
      </c>
      <c r="O16" s="12">
        <f>'Actual Values'!$C$9*'NOLH Designs (2)'!F17</f>
        <v>0</v>
      </c>
      <c r="P16" s="12">
        <f>'Actual Values'!$C$9-'ExpValues Eq'!O16</f>
        <v>414629</v>
      </c>
      <c r="Q16" s="12">
        <f>O16+'Actual Values'!$D$9</f>
        <v>48975</v>
      </c>
      <c r="R16" s="12">
        <f>'Actual Values'!$A$21*'NOLH Designs (2)'!S17</f>
        <v>67.100000000000009</v>
      </c>
      <c r="S16" s="12">
        <f>'Actual Values'!$B$21*'NOLH Designs (2)'!S17</f>
        <v>114.95</v>
      </c>
      <c r="T16" s="12">
        <f>'Actual Values'!$C$21*'NOLH Designs (2)'!S17</f>
        <v>67.650000000000006</v>
      </c>
      <c r="U16" s="12">
        <f>'Actual Values'!$A$25*'NOLH Designs (2)'!T17</f>
        <v>36</v>
      </c>
      <c r="V16" s="12">
        <f>'Actual Values'!$B$25*'NOLH Designs (2)'!T17</f>
        <v>58.559999999999995</v>
      </c>
      <c r="W16" s="12">
        <f>'Actual Values'!$A$13*'NOLH Designs (2)'!G17</f>
        <v>29.099999999999998</v>
      </c>
      <c r="X16" s="12">
        <f>'Actual Values'!$B$13*'NOLH Designs (2)'!H17</f>
        <v>39.6</v>
      </c>
      <c r="Y16" s="12">
        <f>'Actual Values'!$A$17*'NOLH Designs (2)'!Q17</f>
        <v>3.08</v>
      </c>
      <c r="Z16" s="12">
        <f>'Actual Values'!$B$17*'NOLH Designs (2)'!R17</f>
        <v>38.61</v>
      </c>
      <c r="AA16" s="12">
        <f>'Actual Values'!$C$17*'NOLH Designs (2)'!Q17</f>
        <v>1.54</v>
      </c>
      <c r="AB16" s="12">
        <f>'Actual Values'!$D$17*'NOLH Designs (2)'!R17</f>
        <v>17.549999999999997</v>
      </c>
      <c r="AC16" s="6">
        <v>0.71</v>
      </c>
      <c r="AD16" s="6">
        <v>0.3</v>
      </c>
      <c r="AE16" s="6">
        <v>0.37</v>
      </c>
      <c r="AF16" s="6">
        <v>0.6</v>
      </c>
      <c r="AG16" s="6">
        <v>0.16</v>
      </c>
      <c r="AH16" s="6">
        <v>0.37</v>
      </c>
      <c r="AI16" s="6">
        <v>0.25</v>
      </c>
      <c r="AJ16" s="6">
        <v>0.16</v>
      </c>
    </row>
    <row r="17" spans="1:36" x14ac:dyDescent="0.2">
      <c r="A17" s="8">
        <v>143</v>
      </c>
      <c r="B17" s="6">
        <f>'Actual Values'!$B$3*'NOLH Designs (2)'!B18</f>
        <v>5823820.7999999998</v>
      </c>
      <c r="C17" s="6">
        <f>'Actual Values'!$B$5*'NOLH Designs (2)'!B18</f>
        <v>5109753.6000000006</v>
      </c>
      <c r="D17" s="6">
        <f>'Actual Values'!$B$7*'NOLH Designs (2)'!B18</f>
        <v>2681202</v>
      </c>
      <c r="E17" s="6">
        <f>'Actual Values'!$B$9*'NOLH Designs (2)'!B18</f>
        <v>2002658.76</v>
      </c>
      <c r="F17" s="12">
        <f>'Actual Values'!$C$3*'NOLH Designs (2)'!C18</f>
        <v>361728</v>
      </c>
      <c r="G17" s="12">
        <f>'Actual Values'!$C$3-'ExpValues Eq'!F17</f>
        <v>844032</v>
      </c>
      <c r="H17" s="12">
        <f>F17+'Actual Values'!$D$3</f>
        <v>584728</v>
      </c>
      <c r="I17" s="12">
        <f>'Actual Values'!$C$5*'NOLH Designs (2)'!D18</f>
        <v>190425.60000000001</v>
      </c>
      <c r="J17" s="12">
        <f>'Actual Values'!$C$5-'ExpValues Eq'!I17</f>
        <v>867494.40000000002</v>
      </c>
      <c r="K17" s="12">
        <f>I17+'Actual Values'!$D$5</f>
        <v>448425.6</v>
      </c>
      <c r="L17" s="12">
        <f>'Actual Values'!$C$7*'NOLH Designs (2)'!E18</f>
        <v>188738.76</v>
      </c>
      <c r="M17" s="12">
        <f>'Actual Values'!$C$7-'ExpValues Eq'!L17</f>
        <v>366375.24</v>
      </c>
      <c r="N17" s="12">
        <f>L17+'Actual Values'!$D$7</f>
        <v>362343.76</v>
      </c>
      <c r="O17" s="12">
        <f>'Actual Values'!$C$9*'NOLH Designs (2)'!F18</f>
        <v>153412.73000000001</v>
      </c>
      <c r="P17" s="12">
        <f>'Actual Values'!$C$9-'ExpValues Eq'!O17</f>
        <v>261216.27</v>
      </c>
      <c r="Q17" s="12">
        <f>O17+'Actual Values'!$D$9</f>
        <v>202387.73</v>
      </c>
      <c r="R17" s="12">
        <f>'Actual Values'!$A$21*'NOLH Designs (2)'!S18</f>
        <v>52.46</v>
      </c>
      <c r="S17" s="12">
        <f>'Actual Values'!$B$21*'NOLH Designs (2)'!S18</f>
        <v>89.87</v>
      </c>
      <c r="T17" s="12">
        <f>'Actual Values'!$C$21*'NOLH Designs (2)'!S18</f>
        <v>52.89</v>
      </c>
      <c r="U17" s="12">
        <f>'Actual Values'!$A$25*'NOLH Designs (2)'!T18</f>
        <v>68.25</v>
      </c>
      <c r="V17" s="12">
        <f>'Actual Values'!$B$25*'NOLH Designs (2)'!T18</f>
        <v>111.02000000000001</v>
      </c>
      <c r="W17" s="12">
        <f>'Actual Values'!$A$13*'NOLH Designs (2)'!G18</f>
        <v>30.3</v>
      </c>
      <c r="X17" s="12">
        <f>'Actual Values'!$B$13*'NOLH Designs (2)'!H18</f>
        <v>57</v>
      </c>
      <c r="Y17" s="12">
        <f>'Actual Values'!$A$17*'NOLH Designs (2)'!Q18</f>
        <v>4.16</v>
      </c>
      <c r="Z17" s="12">
        <f>'Actual Values'!$B$17*'NOLH Designs (2)'!R18</f>
        <v>39.269999999999996</v>
      </c>
      <c r="AA17" s="12">
        <f>'Actual Values'!$C$17*'NOLH Designs (2)'!Q18</f>
        <v>2.08</v>
      </c>
      <c r="AB17" s="12">
        <f>'Actual Values'!$D$17*'NOLH Designs (2)'!R18</f>
        <v>17.849999999999998</v>
      </c>
      <c r="AC17" s="6">
        <v>0.76</v>
      </c>
      <c r="AD17" s="6">
        <v>0.16</v>
      </c>
      <c r="AE17" s="6">
        <v>0.22</v>
      </c>
      <c r="AF17" s="6">
        <v>0.6</v>
      </c>
      <c r="AG17" s="6">
        <v>0.2</v>
      </c>
      <c r="AH17" s="6">
        <v>0.35</v>
      </c>
      <c r="AI17" s="6">
        <v>0.28999999999999998</v>
      </c>
      <c r="AJ17" s="6">
        <v>0.17</v>
      </c>
    </row>
    <row r="18" spans="1:36" x14ac:dyDescent="0.2">
      <c r="A18" s="8">
        <v>144</v>
      </c>
      <c r="B18" s="6">
        <f>'Actual Values'!$B$3*'NOLH Designs (2)'!B19</f>
        <v>5950425.5999999996</v>
      </c>
      <c r="C18" s="6">
        <f>'Actual Values'!$B$5*'NOLH Designs (2)'!B19</f>
        <v>5220835.1999999993</v>
      </c>
      <c r="D18" s="6">
        <f>'Actual Values'!$B$7*'NOLH Designs (2)'!B19</f>
        <v>2739489</v>
      </c>
      <c r="E18" s="6">
        <f>'Actual Values'!$B$9*'NOLH Designs (2)'!B19</f>
        <v>2046194.8199999998</v>
      </c>
      <c r="F18" s="12">
        <f>'Actual Values'!$C$3*'NOLH Designs (2)'!C19</f>
        <v>36172.799999999996</v>
      </c>
      <c r="G18" s="12">
        <f>'Actual Values'!$C$3-'ExpValues Eq'!F18</f>
        <v>1169587.2</v>
      </c>
      <c r="H18" s="12">
        <f>F18+'Actual Values'!$D$3</f>
        <v>259172.8</v>
      </c>
      <c r="I18" s="12">
        <f>'Actual Values'!$C$5*'NOLH Designs (2)'!D19</f>
        <v>264480</v>
      </c>
      <c r="J18" s="12">
        <f>'Actual Values'!$C$5-'ExpValues Eq'!I18</f>
        <v>793440</v>
      </c>
      <c r="K18" s="12">
        <f>I18+'Actual Values'!$D$5</f>
        <v>522480</v>
      </c>
      <c r="L18" s="12">
        <f>'Actual Values'!$C$7*'NOLH Designs (2)'!E19</f>
        <v>233147.88</v>
      </c>
      <c r="M18" s="12">
        <f>'Actual Values'!$C$7-'ExpValues Eq'!L18</f>
        <v>321966.12</v>
      </c>
      <c r="N18" s="12">
        <f>L18+'Actual Values'!$D$7</f>
        <v>406752.88</v>
      </c>
      <c r="O18" s="12">
        <f>'Actual Values'!$C$9*'NOLH Designs (2)'!F19</f>
        <v>107803.54000000001</v>
      </c>
      <c r="P18" s="12">
        <f>'Actual Values'!$C$9-'ExpValues Eq'!O18</f>
        <v>306825.45999999996</v>
      </c>
      <c r="Q18" s="12">
        <f>O18+'Actual Values'!$D$9</f>
        <v>156778.54</v>
      </c>
      <c r="R18" s="12">
        <f>'Actual Values'!$A$21*'NOLH Designs (2)'!S19</f>
        <v>117.11999999999999</v>
      </c>
      <c r="S18" s="12">
        <f>'Actual Values'!$B$21*'NOLH Designs (2)'!S19</f>
        <v>200.64</v>
      </c>
      <c r="T18" s="12">
        <f>'Actual Values'!$C$21*'NOLH Designs (2)'!S19</f>
        <v>118.08</v>
      </c>
      <c r="U18" s="12">
        <f>'Actual Values'!$A$25*'NOLH Designs (2)'!T19</f>
        <v>21.75</v>
      </c>
      <c r="V18" s="12">
        <f>'Actual Values'!$B$25*'NOLH Designs (2)'!T19</f>
        <v>35.379999999999995</v>
      </c>
      <c r="W18" s="12">
        <f>'Actual Values'!$A$13*'NOLH Designs (2)'!G19</f>
        <v>36.299999999999997</v>
      </c>
      <c r="X18" s="12">
        <f>'Actual Values'!$B$13*'NOLH Designs (2)'!H19</f>
        <v>70.8</v>
      </c>
      <c r="Y18" s="12">
        <f>'Actual Values'!$A$17*'NOLH Designs (2)'!Q19</f>
        <v>4.04</v>
      </c>
      <c r="Z18" s="12">
        <f>'Actual Values'!$B$17*'NOLH Designs (2)'!R19</f>
        <v>33.660000000000004</v>
      </c>
      <c r="AA18" s="12">
        <f>'Actual Values'!$C$17*'NOLH Designs (2)'!Q19</f>
        <v>2.02</v>
      </c>
      <c r="AB18" s="12">
        <f>'Actual Values'!$D$17*'NOLH Designs (2)'!R19</f>
        <v>15.3</v>
      </c>
      <c r="AC18" s="6">
        <v>0.64</v>
      </c>
      <c r="AD18" s="6">
        <v>0.4</v>
      </c>
      <c r="AE18" s="6">
        <v>0.34</v>
      </c>
      <c r="AF18" s="6">
        <v>0.85</v>
      </c>
      <c r="AG18" s="6">
        <v>0.33</v>
      </c>
      <c r="AH18" s="6">
        <v>0.17</v>
      </c>
      <c r="AI18" s="6">
        <v>0.2</v>
      </c>
      <c r="AJ18" s="6">
        <v>0.16</v>
      </c>
    </row>
    <row r="19" spans="1:36" x14ac:dyDescent="0.2">
      <c r="A19" s="8">
        <v>145</v>
      </c>
      <c r="B19" s="6">
        <f>'Actual Values'!$B$3*'NOLH Designs (2)'!B20</f>
        <v>6456844.7999999998</v>
      </c>
      <c r="C19" s="6">
        <f>'Actual Values'!$B$5*'NOLH Designs (2)'!B20</f>
        <v>5665161.6000000006</v>
      </c>
      <c r="D19" s="6">
        <f>'Actual Values'!$B$7*'NOLH Designs (2)'!B20</f>
        <v>2972637</v>
      </c>
      <c r="E19" s="6">
        <f>'Actual Values'!$B$9*'NOLH Designs (2)'!B20</f>
        <v>2220339.06</v>
      </c>
      <c r="F19" s="12">
        <f>'Actual Values'!$C$3*'NOLH Designs (2)'!C20</f>
        <v>96460.800000000003</v>
      </c>
      <c r="G19" s="12">
        <f>'Actual Values'!$C$3-'ExpValues Eq'!F19</f>
        <v>1109299.2</v>
      </c>
      <c r="H19" s="12">
        <f>F19+'Actual Values'!$D$3</f>
        <v>319460.8</v>
      </c>
      <c r="I19" s="12">
        <f>'Actual Values'!$C$5*'NOLH Designs (2)'!D20</f>
        <v>0</v>
      </c>
      <c r="J19" s="12">
        <f>'Actual Values'!$C$5-'ExpValues Eq'!I19</f>
        <v>1057920</v>
      </c>
      <c r="K19" s="12">
        <f>I19+'Actual Values'!$D$5</f>
        <v>258000</v>
      </c>
      <c r="L19" s="12">
        <f>'Actual Values'!$C$7*'NOLH Designs (2)'!E20</f>
        <v>94369.38</v>
      </c>
      <c r="M19" s="12">
        <f>'Actual Values'!$C$7-'ExpValues Eq'!L19</f>
        <v>460744.62</v>
      </c>
      <c r="N19" s="12">
        <f>L19+'Actual Values'!$D$7</f>
        <v>267974.38</v>
      </c>
      <c r="O19" s="12">
        <f>'Actual Values'!$C$9*'NOLH Designs (2)'!F20</f>
        <v>37316.61</v>
      </c>
      <c r="P19" s="12">
        <f>'Actual Values'!$C$9-'ExpValues Eq'!O19</f>
        <v>377312.39</v>
      </c>
      <c r="Q19" s="12">
        <f>O19+'Actual Values'!$D$9</f>
        <v>86291.61</v>
      </c>
      <c r="R19" s="12">
        <f>'Actual Values'!$A$21*'NOLH Designs (2)'!S20</f>
        <v>69.539999999999992</v>
      </c>
      <c r="S19" s="12">
        <f>'Actual Values'!$B$21*'NOLH Designs (2)'!S20</f>
        <v>119.13</v>
      </c>
      <c r="T19" s="12">
        <f>'Actual Values'!$C$21*'NOLH Designs (2)'!S20</f>
        <v>70.11</v>
      </c>
      <c r="U19" s="12">
        <f>'Actual Values'!$A$25*'NOLH Designs (2)'!T20</f>
        <v>55.5</v>
      </c>
      <c r="V19" s="12">
        <f>'Actual Values'!$B$25*'NOLH Designs (2)'!T20</f>
        <v>90.28</v>
      </c>
      <c r="W19" s="12">
        <f>'Actual Values'!$A$13*'NOLH Designs (2)'!G20</f>
        <v>36</v>
      </c>
      <c r="X19" s="12">
        <f>'Actual Values'!$B$13*'NOLH Designs (2)'!H20</f>
        <v>48</v>
      </c>
      <c r="Y19" s="12">
        <f>'Actual Values'!$A$17*'NOLH Designs (2)'!Q20</f>
        <v>3.88</v>
      </c>
      <c r="Z19" s="12">
        <f>'Actual Values'!$B$17*'NOLH Designs (2)'!R20</f>
        <v>39.93</v>
      </c>
      <c r="AA19" s="12">
        <f>'Actual Values'!$C$17*'NOLH Designs (2)'!Q20</f>
        <v>1.94</v>
      </c>
      <c r="AB19" s="12">
        <f>'Actual Values'!$D$17*'NOLH Designs (2)'!R20</f>
        <v>18.149999999999999</v>
      </c>
      <c r="AC19" s="6">
        <v>0.82</v>
      </c>
      <c r="AD19" s="6">
        <v>0.17</v>
      </c>
      <c r="AE19" s="6">
        <v>0.23</v>
      </c>
      <c r="AF19" s="6">
        <v>0.89</v>
      </c>
      <c r="AG19" s="6">
        <v>0.28999999999999998</v>
      </c>
      <c r="AH19" s="6">
        <v>0.2</v>
      </c>
      <c r="AI19" s="6">
        <v>0.22</v>
      </c>
      <c r="AJ19" s="6">
        <v>0.15</v>
      </c>
    </row>
    <row r="20" spans="1:36" x14ac:dyDescent="0.2">
      <c r="A20" s="8">
        <v>146</v>
      </c>
      <c r="B20" s="6">
        <f>'Actual Values'!$B$3*'NOLH Designs (2)'!B21</f>
        <v>6963264.0000000009</v>
      </c>
      <c r="C20" s="6">
        <f>'Actual Values'!$B$5*'NOLH Designs (2)'!B21</f>
        <v>6109488.0000000009</v>
      </c>
      <c r="D20" s="6">
        <f>'Actual Values'!$B$7*'NOLH Designs (2)'!B21</f>
        <v>3205785.0000000005</v>
      </c>
      <c r="E20" s="6">
        <f>'Actual Values'!$B$9*'NOLH Designs (2)'!B21</f>
        <v>2394483.3000000003</v>
      </c>
      <c r="F20" s="12">
        <f>'Actual Values'!$C$3*'NOLH Designs (2)'!C21</f>
        <v>84403.200000000012</v>
      </c>
      <c r="G20" s="12">
        <f>'Actual Values'!$C$3-'ExpValues Eq'!F20</f>
        <v>1121356.8</v>
      </c>
      <c r="H20" s="12">
        <f>F20+'Actual Values'!$D$3</f>
        <v>307403.2</v>
      </c>
      <c r="I20" s="12">
        <f>'Actual Values'!$C$5*'NOLH Designs (2)'!D21</f>
        <v>232742.39999999999</v>
      </c>
      <c r="J20" s="12">
        <f>'Actual Values'!$C$5-'ExpValues Eq'!I20</f>
        <v>825177.59999999998</v>
      </c>
      <c r="K20" s="12">
        <f>I20+'Actual Values'!$D$5</f>
        <v>490742.4</v>
      </c>
      <c r="L20" s="12">
        <f>'Actual Values'!$C$7*'NOLH Designs (2)'!E21</f>
        <v>244250.16</v>
      </c>
      <c r="M20" s="12">
        <f>'Actual Values'!$C$7-'ExpValues Eq'!L20</f>
        <v>310863.83999999997</v>
      </c>
      <c r="N20" s="12">
        <f>L20+'Actual Values'!$D$7</f>
        <v>417855.16000000003</v>
      </c>
      <c r="O20" s="12">
        <f>'Actual Values'!$C$9*'NOLH Designs (2)'!F21</f>
        <v>140973.86000000002</v>
      </c>
      <c r="P20" s="12">
        <f>'Actual Values'!$C$9-'ExpValues Eq'!O20</f>
        <v>273655.14</v>
      </c>
      <c r="Q20" s="12">
        <f>O20+'Actual Values'!$D$9</f>
        <v>189948.86000000002</v>
      </c>
      <c r="R20" s="12">
        <f>'Actual Values'!$A$21*'NOLH Designs (2)'!S21</f>
        <v>50.019999999999996</v>
      </c>
      <c r="S20" s="12">
        <f>'Actual Values'!$B$21*'NOLH Designs (2)'!S21</f>
        <v>85.69</v>
      </c>
      <c r="T20" s="12">
        <f>'Actual Values'!$C$21*'NOLH Designs (2)'!S21</f>
        <v>50.43</v>
      </c>
      <c r="U20" s="12">
        <f>'Actual Values'!$A$25*'NOLH Designs (2)'!T21</f>
        <v>60</v>
      </c>
      <c r="V20" s="12">
        <f>'Actual Values'!$B$25*'NOLH Designs (2)'!T21</f>
        <v>97.600000000000009</v>
      </c>
      <c r="W20" s="12">
        <f>'Actual Values'!$A$13*'NOLH Designs (2)'!G21</f>
        <v>24.3</v>
      </c>
      <c r="X20" s="12">
        <f>'Actual Values'!$B$13*'NOLH Designs (2)'!H21</f>
        <v>58.8</v>
      </c>
      <c r="Y20" s="12">
        <f>'Actual Values'!$A$17*'NOLH Designs (2)'!Q21</f>
        <v>3.68</v>
      </c>
      <c r="Z20" s="12">
        <f>'Actual Values'!$B$17*'NOLH Designs (2)'!R21</f>
        <v>35.970000000000006</v>
      </c>
      <c r="AA20" s="12">
        <f>'Actual Values'!$C$17*'NOLH Designs (2)'!Q21</f>
        <v>1.84</v>
      </c>
      <c r="AB20" s="12">
        <f>'Actual Values'!$D$17*'NOLH Designs (2)'!R21</f>
        <v>16.350000000000001</v>
      </c>
      <c r="AC20" s="6">
        <v>0.75</v>
      </c>
      <c r="AD20" s="6">
        <v>0.16</v>
      </c>
      <c r="AE20" s="6">
        <v>0.28000000000000003</v>
      </c>
      <c r="AF20" s="6">
        <v>0.79</v>
      </c>
      <c r="AG20" s="6">
        <v>0.28000000000000003</v>
      </c>
      <c r="AH20" s="6">
        <v>0.16</v>
      </c>
      <c r="AI20" s="6">
        <v>0.3</v>
      </c>
      <c r="AJ20" s="6">
        <v>0.11</v>
      </c>
    </row>
    <row r="21" spans="1:36" x14ac:dyDescent="0.2">
      <c r="A21" s="8">
        <v>147</v>
      </c>
      <c r="B21" s="6">
        <f>'Actual Values'!$B$3*'NOLH Designs (2)'!B22</f>
        <v>6646752</v>
      </c>
      <c r="C21" s="6">
        <f>'Actual Values'!$B$5*'NOLH Designs (2)'!B22</f>
        <v>5831784</v>
      </c>
      <c r="D21" s="6">
        <f>'Actual Values'!$B$7*'NOLH Designs (2)'!B22</f>
        <v>3060067.5</v>
      </c>
      <c r="E21" s="6">
        <f>'Actual Values'!$B$9*'NOLH Designs (2)'!B22</f>
        <v>2285643.15</v>
      </c>
      <c r="F21" s="12">
        <f>'Actual Values'!$C$3*'NOLH Designs (2)'!C22</f>
        <v>554649.59999999998</v>
      </c>
      <c r="G21" s="12">
        <f>'Actual Values'!$C$3-'ExpValues Eq'!F21</f>
        <v>651110.40000000002</v>
      </c>
      <c r="H21" s="12">
        <f>F21+'Actual Values'!$D$3</f>
        <v>777649.6</v>
      </c>
      <c r="I21" s="12">
        <f>'Actual Values'!$C$5*'NOLH Designs (2)'!D22</f>
        <v>359692.80000000005</v>
      </c>
      <c r="J21" s="12">
        <f>'Actual Values'!$C$5-'ExpValues Eq'!I21</f>
        <v>698227.19999999995</v>
      </c>
      <c r="K21" s="12">
        <f>I21+'Actual Values'!$D$5</f>
        <v>617692.80000000005</v>
      </c>
      <c r="L21" s="12">
        <f>'Actual Values'!$C$7*'NOLH Designs (2)'!E22</f>
        <v>272005.86</v>
      </c>
      <c r="M21" s="12">
        <f>'Actual Values'!$C$7-'ExpValues Eq'!L21</f>
        <v>283108.14</v>
      </c>
      <c r="N21" s="12">
        <f>L21+'Actual Values'!$D$7</f>
        <v>445610.86</v>
      </c>
      <c r="O21" s="12">
        <f>'Actual Values'!$C$9*'NOLH Designs (2)'!F22</f>
        <v>182436.76</v>
      </c>
      <c r="P21" s="12">
        <f>'Actual Values'!$C$9-'ExpValues Eq'!O21</f>
        <v>232192.24</v>
      </c>
      <c r="Q21" s="12">
        <f>O21+'Actual Values'!$D$9</f>
        <v>231411.76</v>
      </c>
      <c r="R21" s="12">
        <f>'Actual Values'!$A$21*'NOLH Designs (2)'!S22</f>
        <v>89.06</v>
      </c>
      <c r="S21" s="12">
        <f>'Actual Values'!$B$21*'NOLH Designs (2)'!S22</f>
        <v>152.57</v>
      </c>
      <c r="T21" s="12">
        <f>'Actual Values'!$C$21*'NOLH Designs (2)'!S22</f>
        <v>89.789999999999992</v>
      </c>
      <c r="U21" s="12">
        <f>'Actual Values'!$A$25*'NOLH Designs (2)'!T22</f>
        <v>56.25</v>
      </c>
      <c r="V21" s="12">
        <f>'Actual Values'!$B$25*'NOLH Designs (2)'!T22</f>
        <v>91.5</v>
      </c>
      <c r="W21" s="12">
        <f>'Actual Values'!$A$13*'NOLH Designs (2)'!G22</f>
        <v>38.1</v>
      </c>
      <c r="X21" s="12">
        <f>'Actual Values'!$B$13*'NOLH Designs (2)'!H22</f>
        <v>37.200000000000003</v>
      </c>
      <c r="Y21" s="12">
        <f>'Actual Values'!$A$17*'NOLH Designs (2)'!Q22</f>
        <v>4.68</v>
      </c>
      <c r="Z21" s="12">
        <f>'Actual Values'!$B$17*'NOLH Designs (2)'!R22</f>
        <v>31.349999999999998</v>
      </c>
      <c r="AA21" s="12">
        <f>'Actual Values'!$C$17*'NOLH Designs (2)'!Q22</f>
        <v>2.34</v>
      </c>
      <c r="AB21" s="12">
        <f>'Actual Values'!$D$17*'NOLH Designs (2)'!R22</f>
        <v>14.25</v>
      </c>
      <c r="AC21" s="6">
        <v>0.74</v>
      </c>
      <c r="AD21" s="6">
        <v>0.32</v>
      </c>
      <c r="AE21" s="6">
        <v>0.11</v>
      </c>
      <c r="AF21" s="6">
        <v>0.78</v>
      </c>
      <c r="AG21" s="6">
        <v>0.32</v>
      </c>
      <c r="AH21" s="6">
        <v>0.23</v>
      </c>
      <c r="AI21" s="6">
        <v>0.22</v>
      </c>
      <c r="AJ21" s="6">
        <v>0.12</v>
      </c>
    </row>
    <row r="22" spans="1:36" x14ac:dyDescent="0.2">
      <c r="A22" s="8">
        <v>148</v>
      </c>
      <c r="B22" s="6">
        <f>'Actual Values'!$B$3*'NOLH Designs (2)'!B23</f>
        <v>7596288</v>
      </c>
      <c r="C22" s="6">
        <f>'Actual Values'!$B$5*'NOLH Designs (2)'!B23</f>
        <v>6664896</v>
      </c>
      <c r="D22" s="6">
        <f>'Actual Values'!$B$7*'NOLH Designs (2)'!B23</f>
        <v>3497220</v>
      </c>
      <c r="E22" s="6">
        <f>'Actual Values'!$B$9*'NOLH Designs (2)'!B23</f>
        <v>2612163.6</v>
      </c>
      <c r="F22" s="12">
        <f>'Actual Values'!$C$3*'NOLH Designs (2)'!C23</f>
        <v>180864</v>
      </c>
      <c r="G22" s="12">
        <f>'Actual Values'!$C$3-'ExpValues Eq'!F22</f>
        <v>1024896</v>
      </c>
      <c r="H22" s="12">
        <f>F22+'Actual Values'!$D$3</f>
        <v>403864</v>
      </c>
      <c r="I22" s="12">
        <f>'Actual Values'!$C$5*'NOLH Designs (2)'!D23</f>
        <v>116371.2</v>
      </c>
      <c r="J22" s="12">
        <f>'Actual Values'!$C$5-'ExpValues Eq'!I22</f>
        <v>941548.8</v>
      </c>
      <c r="K22" s="12">
        <f>I22+'Actual Values'!$D$5</f>
        <v>374371.2</v>
      </c>
      <c r="L22" s="12">
        <f>'Actual Values'!$C$7*'NOLH Designs (2)'!E23</f>
        <v>44409.120000000003</v>
      </c>
      <c r="M22" s="12">
        <f>'Actual Values'!$C$7-'ExpValues Eq'!L22</f>
        <v>510704.88</v>
      </c>
      <c r="N22" s="12">
        <f>L22+'Actual Values'!$D$7</f>
        <v>218014.12</v>
      </c>
      <c r="O22" s="12">
        <f>'Actual Values'!$C$9*'NOLH Designs (2)'!F23</f>
        <v>124388.7</v>
      </c>
      <c r="P22" s="12">
        <f>'Actual Values'!$C$9-'ExpValues Eq'!O22</f>
        <v>290240.3</v>
      </c>
      <c r="Q22" s="12">
        <f>O22+'Actual Values'!$D$9</f>
        <v>173363.7</v>
      </c>
      <c r="R22" s="12">
        <f>'Actual Values'!$A$21*'NOLH Designs (2)'!S23</f>
        <v>71.97999999999999</v>
      </c>
      <c r="S22" s="12">
        <f>'Actual Values'!$B$21*'NOLH Designs (2)'!S23</f>
        <v>123.30999999999999</v>
      </c>
      <c r="T22" s="12">
        <f>'Actual Values'!$C$21*'NOLH Designs (2)'!S23</f>
        <v>72.569999999999993</v>
      </c>
      <c r="U22" s="12">
        <f>'Actual Values'!$A$25*'NOLH Designs (2)'!T23</f>
        <v>49.5</v>
      </c>
      <c r="V22" s="12">
        <f>'Actual Values'!$B$25*'NOLH Designs (2)'!T23</f>
        <v>80.52000000000001</v>
      </c>
      <c r="W22" s="12">
        <f>'Actual Values'!$A$13*'NOLH Designs (2)'!G23</f>
        <v>30.900000000000002</v>
      </c>
      <c r="X22" s="12">
        <f>'Actual Values'!$B$13*'NOLH Designs (2)'!H23</f>
        <v>77.400000000000006</v>
      </c>
      <c r="Y22" s="12">
        <f>'Actual Values'!$A$17*'NOLH Designs (2)'!Q23</f>
        <v>3.64</v>
      </c>
      <c r="Z22" s="12">
        <f>'Actual Values'!$B$17*'NOLH Designs (2)'!R23</f>
        <v>31.349999999999998</v>
      </c>
      <c r="AA22" s="12">
        <f>'Actual Values'!$C$17*'NOLH Designs (2)'!Q23</f>
        <v>1.82</v>
      </c>
      <c r="AB22" s="12">
        <f>'Actual Values'!$D$17*'NOLH Designs (2)'!R23</f>
        <v>14.25</v>
      </c>
      <c r="AC22" s="6">
        <v>0.76</v>
      </c>
      <c r="AD22" s="6">
        <v>0.17</v>
      </c>
      <c r="AE22" s="6">
        <v>0.38</v>
      </c>
      <c r="AF22" s="6">
        <v>0.69</v>
      </c>
      <c r="AG22" s="6">
        <v>0.25</v>
      </c>
      <c r="AH22" s="6">
        <v>0.31</v>
      </c>
      <c r="AI22" s="6">
        <v>0.28999999999999998</v>
      </c>
      <c r="AJ22" s="6">
        <v>0.11</v>
      </c>
    </row>
    <row r="23" spans="1:36" x14ac:dyDescent="0.2">
      <c r="A23" s="8">
        <v>149</v>
      </c>
      <c r="B23" s="6">
        <f>'Actual Values'!$B$3*'NOLH Designs (2)'!B24</f>
        <v>7469683.1999999993</v>
      </c>
      <c r="C23" s="6">
        <f>'Actual Values'!$B$5*'NOLH Designs (2)'!B24</f>
        <v>6553814.3999999994</v>
      </c>
      <c r="D23" s="6">
        <f>'Actual Values'!$B$7*'NOLH Designs (2)'!B24</f>
        <v>3438933</v>
      </c>
      <c r="E23" s="6">
        <f>'Actual Values'!$B$9*'NOLH Designs (2)'!B24</f>
        <v>2568627.54</v>
      </c>
      <c r="F23" s="12">
        <f>'Actual Values'!$C$3*'NOLH Designs (2)'!C24</f>
        <v>241152</v>
      </c>
      <c r="G23" s="12">
        <f>'Actual Values'!$C$3-'ExpValues Eq'!F23</f>
        <v>964608</v>
      </c>
      <c r="H23" s="12">
        <f>F23+'Actual Values'!$D$3</f>
        <v>464152</v>
      </c>
      <c r="I23" s="12">
        <f>'Actual Values'!$C$5*'NOLH Designs (2)'!D24</f>
        <v>253900.79999999999</v>
      </c>
      <c r="J23" s="12">
        <f>'Actual Values'!$C$5-'ExpValues Eq'!I23</f>
        <v>804019.19999999995</v>
      </c>
      <c r="K23" s="12">
        <f>I23+'Actual Values'!$D$5</f>
        <v>511900.8</v>
      </c>
      <c r="L23" s="12">
        <f>'Actual Values'!$C$7*'NOLH Designs (2)'!E24</f>
        <v>183187.62</v>
      </c>
      <c r="M23" s="12">
        <f>'Actual Values'!$C$7-'ExpValues Eq'!L23</f>
        <v>371926.38</v>
      </c>
      <c r="N23" s="12">
        <f>L23+'Actual Values'!$D$7</f>
        <v>356792.62</v>
      </c>
      <c r="O23" s="12">
        <f>'Actual Values'!$C$9*'NOLH Designs (2)'!F24</f>
        <v>45609.19</v>
      </c>
      <c r="P23" s="12">
        <f>'Actual Values'!$C$9-'ExpValues Eq'!O23</f>
        <v>369019.81</v>
      </c>
      <c r="Q23" s="12">
        <f>O23+'Actual Values'!$D$9</f>
        <v>94584.19</v>
      </c>
      <c r="R23" s="12">
        <f>'Actual Values'!$A$21*'NOLH Designs (2)'!S24</f>
        <v>98.820000000000007</v>
      </c>
      <c r="S23" s="12">
        <f>'Actual Values'!$B$21*'NOLH Designs (2)'!S24</f>
        <v>169.29000000000002</v>
      </c>
      <c r="T23" s="12">
        <f>'Actual Values'!$C$21*'NOLH Designs (2)'!S24</f>
        <v>99.63000000000001</v>
      </c>
      <c r="U23" s="12">
        <f>'Actual Values'!$A$25*'NOLH Designs (2)'!T24</f>
        <v>51.749999999999993</v>
      </c>
      <c r="V23" s="12">
        <f>'Actual Values'!$B$25*'NOLH Designs (2)'!T24</f>
        <v>84.179999999999993</v>
      </c>
      <c r="W23" s="12">
        <f>'Actual Values'!$A$13*'NOLH Designs (2)'!G24</f>
        <v>22.5</v>
      </c>
      <c r="X23" s="12">
        <f>'Actual Values'!$B$13*'NOLH Designs (2)'!H24</f>
        <v>79.2</v>
      </c>
      <c r="Y23" s="12">
        <f>'Actual Values'!$A$17*'NOLH Designs (2)'!Q24</f>
        <v>4.92</v>
      </c>
      <c r="Z23" s="12">
        <f>'Actual Values'!$B$17*'NOLH Designs (2)'!R24</f>
        <v>36.96</v>
      </c>
      <c r="AA23" s="12">
        <f>'Actual Values'!$C$17*'NOLH Designs (2)'!Q24</f>
        <v>2.46</v>
      </c>
      <c r="AB23" s="12">
        <f>'Actual Values'!$D$17*'NOLH Designs (2)'!R24</f>
        <v>16.8</v>
      </c>
      <c r="AC23" s="6">
        <v>0.65</v>
      </c>
      <c r="AD23" s="6">
        <v>0.26</v>
      </c>
      <c r="AE23" s="6">
        <v>0.17</v>
      </c>
      <c r="AF23" s="6">
        <v>0.62</v>
      </c>
      <c r="AG23" s="6">
        <v>0.24</v>
      </c>
      <c r="AH23" s="6">
        <v>0.3</v>
      </c>
      <c r="AI23" s="6">
        <v>0.22</v>
      </c>
      <c r="AJ23" s="6">
        <v>0.1</v>
      </c>
    </row>
    <row r="24" spans="1:36" x14ac:dyDescent="0.2">
      <c r="A24" s="8">
        <v>150</v>
      </c>
      <c r="B24" s="6">
        <f>'Actual Values'!$B$3*'NOLH Designs (2)'!B25</f>
        <v>7343078.3999999994</v>
      </c>
      <c r="C24" s="6">
        <f>'Actual Values'!$B$5*'NOLH Designs (2)'!B25</f>
        <v>6442732.7999999998</v>
      </c>
      <c r="D24" s="6">
        <f>'Actual Values'!$B$7*'NOLH Designs (2)'!B25</f>
        <v>3380645.9999999995</v>
      </c>
      <c r="E24" s="6">
        <f>'Actual Values'!$B$9*'NOLH Designs (2)'!B25</f>
        <v>2525091.48</v>
      </c>
      <c r="F24" s="12">
        <f>'Actual Values'!$C$3*'NOLH Designs (2)'!C25</f>
        <v>518476.79999999999</v>
      </c>
      <c r="G24" s="12">
        <f>'Actual Values'!$C$3-'ExpValues Eq'!F24</f>
        <v>687283.19999999995</v>
      </c>
      <c r="H24" s="12">
        <f>F24+'Actual Values'!$D$3</f>
        <v>741476.8</v>
      </c>
      <c r="I24" s="12">
        <f>'Actual Values'!$C$5*'NOLH Designs (2)'!D25</f>
        <v>306796.79999999999</v>
      </c>
      <c r="J24" s="12">
        <f>'Actual Values'!$C$5-'ExpValues Eq'!I24</f>
        <v>751123.2</v>
      </c>
      <c r="K24" s="12">
        <f>I24+'Actual Values'!$D$5</f>
        <v>564796.80000000005</v>
      </c>
      <c r="L24" s="12">
        <f>'Actual Values'!$C$7*'NOLH Designs (2)'!E25</f>
        <v>38857.980000000003</v>
      </c>
      <c r="M24" s="12">
        <f>'Actual Values'!$C$7-'ExpValues Eq'!L24</f>
        <v>516256.02</v>
      </c>
      <c r="N24" s="12">
        <f>L24+'Actual Values'!$D$7</f>
        <v>212462.98</v>
      </c>
      <c r="O24" s="12">
        <f>'Actual Values'!$C$9*'NOLH Designs (2)'!F25</f>
        <v>8292.58</v>
      </c>
      <c r="P24" s="12">
        <f>'Actual Values'!$C$9-'ExpValues Eq'!O24</f>
        <v>406336.42</v>
      </c>
      <c r="Q24" s="12">
        <f>O24+'Actual Values'!$D$9</f>
        <v>57267.58</v>
      </c>
      <c r="R24" s="12">
        <f>'Actual Values'!$A$21*'NOLH Designs (2)'!S25</f>
        <v>115.89999999999999</v>
      </c>
      <c r="S24" s="12">
        <f>'Actual Values'!$B$21*'NOLH Designs (2)'!S25</f>
        <v>198.54999999999998</v>
      </c>
      <c r="T24" s="12">
        <f>'Actual Values'!$C$21*'NOLH Designs (2)'!S25</f>
        <v>116.85</v>
      </c>
      <c r="U24" s="12">
        <f>'Actual Values'!$A$25*'NOLH Designs (2)'!T25</f>
        <v>41.25</v>
      </c>
      <c r="V24" s="12">
        <f>'Actual Values'!$B$25*'NOLH Designs (2)'!T25</f>
        <v>67.100000000000009</v>
      </c>
      <c r="W24" s="12">
        <f>'Actual Values'!$A$13*'NOLH Designs (2)'!G25</f>
        <v>33.6</v>
      </c>
      <c r="X24" s="12">
        <f>'Actual Values'!$B$13*'NOLH Designs (2)'!H25</f>
        <v>83.399999999999991</v>
      </c>
      <c r="Y24" s="12">
        <f>'Actual Values'!$A$17*'NOLH Designs (2)'!Q25</f>
        <v>4.5599999999999996</v>
      </c>
      <c r="Z24" s="12">
        <f>'Actual Values'!$B$17*'NOLH Designs (2)'!R25</f>
        <v>28.38</v>
      </c>
      <c r="AA24" s="12">
        <f>'Actual Values'!$C$17*'NOLH Designs (2)'!Q25</f>
        <v>2.2799999999999998</v>
      </c>
      <c r="AB24" s="12">
        <f>'Actual Values'!$D$17*'NOLH Designs (2)'!R25</f>
        <v>12.9</v>
      </c>
      <c r="AC24" s="6">
        <v>0.9</v>
      </c>
      <c r="AD24" s="6">
        <v>0.13</v>
      </c>
      <c r="AE24" s="6">
        <v>0.28999999999999998</v>
      </c>
      <c r="AF24" s="6">
        <v>0.65</v>
      </c>
      <c r="AG24" s="6">
        <v>0.39</v>
      </c>
      <c r="AH24" s="6">
        <v>0.1</v>
      </c>
      <c r="AI24" s="6">
        <v>0.19</v>
      </c>
      <c r="AJ24" s="6">
        <v>0.26</v>
      </c>
    </row>
    <row r="25" spans="1:36" x14ac:dyDescent="0.2">
      <c r="A25" s="8">
        <v>151</v>
      </c>
      <c r="B25" s="6">
        <f>'Actual Values'!$B$3*'NOLH Designs (2)'!B26</f>
        <v>6456844.7999999998</v>
      </c>
      <c r="C25" s="6">
        <f>'Actual Values'!$B$5*'NOLH Designs (2)'!B26</f>
        <v>5665161.6000000006</v>
      </c>
      <c r="D25" s="6">
        <f>'Actual Values'!$B$7*'NOLH Designs (2)'!B26</f>
        <v>2972637</v>
      </c>
      <c r="E25" s="6">
        <f>'Actual Values'!$B$9*'NOLH Designs (2)'!B26</f>
        <v>2220339.06</v>
      </c>
      <c r="F25" s="12">
        <f>'Actual Values'!$C$3*'NOLH Designs (2)'!C26</f>
        <v>409958.40000000002</v>
      </c>
      <c r="G25" s="12">
        <f>'Actual Values'!$C$3-'ExpValues Eq'!F25</f>
        <v>795801.59999999998</v>
      </c>
      <c r="H25" s="12">
        <f>F25+'Actual Values'!$D$3</f>
        <v>632958.4</v>
      </c>
      <c r="I25" s="12">
        <f>'Actual Values'!$C$5*'NOLH Designs (2)'!D26</f>
        <v>476064</v>
      </c>
      <c r="J25" s="12">
        <f>'Actual Values'!$C$5-'ExpValues Eq'!I25</f>
        <v>581856</v>
      </c>
      <c r="K25" s="12">
        <f>I25+'Actual Values'!$D$5</f>
        <v>734064</v>
      </c>
      <c r="L25" s="12">
        <f>'Actual Values'!$C$7*'NOLH Designs (2)'!E26</f>
        <v>0</v>
      </c>
      <c r="M25" s="12">
        <f>'Actual Values'!$C$7-'ExpValues Eq'!L25</f>
        <v>555114</v>
      </c>
      <c r="N25" s="12">
        <f>L25+'Actual Values'!$D$7</f>
        <v>173605</v>
      </c>
      <c r="O25" s="12">
        <f>'Actual Values'!$C$9*'NOLH Designs (2)'!F26</f>
        <v>82925.8</v>
      </c>
      <c r="P25" s="12">
        <f>'Actual Values'!$C$9-'ExpValues Eq'!O25</f>
        <v>331703.2</v>
      </c>
      <c r="Q25" s="12">
        <f>O25+'Actual Values'!$D$9</f>
        <v>131900.79999999999</v>
      </c>
      <c r="R25" s="12">
        <f>'Actual Values'!$A$21*'NOLH Designs (2)'!S26</f>
        <v>36.6</v>
      </c>
      <c r="S25" s="12">
        <f>'Actual Values'!$B$21*'NOLH Designs (2)'!S26</f>
        <v>62.699999999999996</v>
      </c>
      <c r="T25" s="12">
        <f>'Actual Values'!$C$21*'NOLH Designs (2)'!S26</f>
        <v>36.9</v>
      </c>
      <c r="U25" s="12">
        <f>'Actual Values'!$A$25*'NOLH Designs (2)'!T26</f>
        <v>69.75</v>
      </c>
      <c r="V25" s="12">
        <f>'Actual Values'!$B$25*'NOLH Designs (2)'!T26</f>
        <v>113.46000000000001</v>
      </c>
      <c r="W25" s="12">
        <f>'Actual Values'!$A$13*'NOLH Designs (2)'!G26</f>
        <v>28.2</v>
      </c>
      <c r="X25" s="12">
        <f>'Actual Values'!$B$13*'NOLH Designs (2)'!H26</f>
        <v>73.2</v>
      </c>
      <c r="Y25" s="12">
        <f>'Actual Values'!$A$17*'NOLH Designs (2)'!Q26</f>
        <v>4</v>
      </c>
      <c r="Z25" s="12">
        <f>'Actual Values'!$B$17*'NOLH Designs (2)'!R26</f>
        <v>32.01</v>
      </c>
      <c r="AA25" s="12">
        <f>'Actual Values'!$C$17*'NOLH Designs (2)'!Q26</f>
        <v>2</v>
      </c>
      <c r="AB25" s="12">
        <f>'Actual Values'!$D$17*'NOLH Designs (2)'!R26</f>
        <v>14.549999999999999</v>
      </c>
      <c r="AC25" s="6">
        <v>0.68</v>
      </c>
      <c r="AD25" s="6">
        <v>0.39</v>
      </c>
      <c r="AE25" s="6">
        <v>0.27</v>
      </c>
      <c r="AF25" s="6">
        <v>0.61</v>
      </c>
      <c r="AG25" s="6">
        <v>0.27</v>
      </c>
      <c r="AH25" s="6">
        <v>0.1</v>
      </c>
      <c r="AI25" s="6">
        <v>0.13</v>
      </c>
      <c r="AJ25" s="6">
        <v>0.21</v>
      </c>
    </row>
    <row r="26" spans="1:36" x14ac:dyDescent="0.2">
      <c r="A26" s="8">
        <v>152</v>
      </c>
      <c r="B26" s="6">
        <f>'Actual Values'!$B$3*'NOLH Designs (2)'!B27</f>
        <v>5823820.7999999998</v>
      </c>
      <c r="C26" s="6">
        <f>'Actual Values'!$B$5*'NOLH Designs (2)'!B27</f>
        <v>5109753.6000000006</v>
      </c>
      <c r="D26" s="6">
        <f>'Actual Values'!$B$7*'NOLH Designs (2)'!B27</f>
        <v>2681202</v>
      </c>
      <c r="E26" s="6">
        <f>'Actual Values'!$B$9*'NOLH Designs (2)'!B27</f>
        <v>2002658.76</v>
      </c>
      <c r="F26" s="12">
        <f>'Actual Values'!$C$3*'NOLH Designs (2)'!C27</f>
        <v>337612.80000000005</v>
      </c>
      <c r="G26" s="12">
        <f>'Actual Values'!$C$3-'ExpValues Eq'!F26</f>
        <v>868147.19999999995</v>
      </c>
      <c r="H26" s="12">
        <f>F26+'Actual Values'!$D$3</f>
        <v>560612.80000000005</v>
      </c>
      <c r="I26" s="12">
        <f>'Actual Values'!$C$5*'NOLH Designs (2)'!D27</f>
        <v>74054.400000000009</v>
      </c>
      <c r="J26" s="12">
        <f>'Actual Values'!$C$5-'ExpValues Eq'!I26</f>
        <v>983865.6</v>
      </c>
      <c r="K26" s="12">
        <f>I26+'Actual Values'!$D$5</f>
        <v>332054.40000000002</v>
      </c>
      <c r="L26" s="12">
        <f>'Actual Values'!$C$7*'NOLH Designs (2)'!E27</f>
        <v>216494.46000000002</v>
      </c>
      <c r="M26" s="12">
        <f>'Actual Values'!$C$7-'ExpValues Eq'!L26</f>
        <v>338619.54</v>
      </c>
      <c r="N26" s="12">
        <f>L26+'Actual Values'!$D$7</f>
        <v>390099.46</v>
      </c>
      <c r="O26" s="12">
        <f>'Actual Values'!$C$9*'NOLH Designs (2)'!F27</f>
        <v>99510.959999999992</v>
      </c>
      <c r="P26" s="12">
        <f>'Actual Values'!$C$9-'ExpValues Eq'!O26</f>
        <v>315118.04000000004</v>
      </c>
      <c r="Q26" s="12">
        <f>O26+'Actual Values'!$D$9</f>
        <v>148485.96</v>
      </c>
      <c r="R26" s="12">
        <f>'Actual Values'!$A$21*'NOLH Designs (2)'!S27</f>
        <v>107.36</v>
      </c>
      <c r="S26" s="12">
        <f>'Actual Values'!$B$21*'NOLH Designs (2)'!S27</f>
        <v>183.92</v>
      </c>
      <c r="T26" s="12">
        <f>'Actual Values'!$C$21*'NOLH Designs (2)'!S27</f>
        <v>108.24</v>
      </c>
      <c r="U26" s="12">
        <f>'Actual Values'!$A$25*'NOLH Designs (2)'!T27</f>
        <v>41.25</v>
      </c>
      <c r="V26" s="12">
        <f>'Actual Values'!$B$25*'NOLH Designs (2)'!T27</f>
        <v>67.100000000000009</v>
      </c>
      <c r="W26" s="12">
        <f>'Actual Values'!$A$13*'NOLH Designs (2)'!G27</f>
        <v>41.1</v>
      </c>
      <c r="X26" s="12">
        <f>'Actual Values'!$B$13*'NOLH Designs (2)'!H27</f>
        <v>69</v>
      </c>
      <c r="Y26" s="12">
        <f>'Actual Values'!$A$17*'NOLH Designs (2)'!Q27</f>
        <v>3.44</v>
      </c>
      <c r="Z26" s="12">
        <f>'Actual Values'!$B$17*'NOLH Designs (2)'!R27</f>
        <v>27.06</v>
      </c>
      <c r="AA26" s="12">
        <f>'Actual Values'!$C$17*'NOLH Designs (2)'!Q27</f>
        <v>1.72</v>
      </c>
      <c r="AB26" s="12">
        <f>'Actual Values'!$D$17*'NOLH Designs (2)'!R27</f>
        <v>12.299999999999999</v>
      </c>
      <c r="AC26" s="6">
        <v>0.88</v>
      </c>
      <c r="AD26" s="6">
        <v>0.11</v>
      </c>
      <c r="AE26" s="6">
        <v>0.36</v>
      </c>
      <c r="AF26" s="6">
        <v>0.84</v>
      </c>
      <c r="AG26" s="6">
        <v>0.11</v>
      </c>
      <c r="AH26" s="6">
        <v>0.37</v>
      </c>
      <c r="AI26" s="6">
        <v>0.18</v>
      </c>
      <c r="AJ26" s="6">
        <v>0.26</v>
      </c>
    </row>
    <row r="27" spans="1:36" x14ac:dyDescent="0.2">
      <c r="A27" s="8">
        <v>153</v>
      </c>
      <c r="B27" s="6">
        <f>'Actual Values'!$B$3*'NOLH Designs (2)'!B28</f>
        <v>4874284.8</v>
      </c>
      <c r="C27" s="6">
        <f>'Actual Values'!$B$5*'NOLH Designs (2)'!B28</f>
        <v>4276641.6000000006</v>
      </c>
      <c r="D27" s="6">
        <f>'Actual Values'!$B$7*'NOLH Designs (2)'!B28</f>
        <v>2244049.5</v>
      </c>
      <c r="E27" s="6">
        <f>'Actual Values'!$B$9*'NOLH Designs (2)'!B28</f>
        <v>1676138.31</v>
      </c>
      <c r="F27" s="12">
        <f>'Actual Values'!$C$3*'NOLH Designs (2)'!C28</f>
        <v>204979.20000000001</v>
      </c>
      <c r="G27" s="12">
        <f>'Actual Values'!$C$3-'ExpValues Eq'!F27</f>
        <v>1000780.8</v>
      </c>
      <c r="H27" s="12">
        <f>F27+'Actual Values'!$D$3</f>
        <v>427979.2</v>
      </c>
      <c r="I27" s="12">
        <f>'Actual Values'!$C$5*'NOLH Designs (2)'!D28</f>
        <v>380851.20000000001</v>
      </c>
      <c r="J27" s="12">
        <f>'Actual Values'!$C$5-'ExpValues Eq'!I27</f>
        <v>677068.80000000005</v>
      </c>
      <c r="K27" s="12">
        <f>I27+'Actual Values'!$D$5</f>
        <v>638851.19999999995</v>
      </c>
      <c r="L27" s="12">
        <f>'Actual Values'!$C$7*'NOLH Designs (2)'!E28</f>
        <v>122125.08</v>
      </c>
      <c r="M27" s="12">
        <f>'Actual Values'!$C$7-'ExpValues Eq'!L27</f>
        <v>432988.92</v>
      </c>
      <c r="N27" s="12">
        <f>L27+'Actual Values'!$D$7</f>
        <v>295730.08</v>
      </c>
      <c r="O27" s="12">
        <f>'Actual Values'!$C$9*'NOLH Designs (2)'!F28</f>
        <v>95364.67</v>
      </c>
      <c r="P27" s="12">
        <f>'Actual Values'!$C$9-'ExpValues Eq'!O27</f>
        <v>319264.33</v>
      </c>
      <c r="Q27" s="12">
        <f>O27+'Actual Values'!$D$9</f>
        <v>144339.66999999998</v>
      </c>
      <c r="R27" s="12">
        <f>'Actual Values'!$A$21*'NOLH Designs (2)'!S28</f>
        <v>57.339999999999996</v>
      </c>
      <c r="S27" s="12">
        <f>'Actual Values'!$B$21*'NOLH Designs (2)'!S28</f>
        <v>98.22999999999999</v>
      </c>
      <c r="T27" s="12">
        <f>'Actual Values'!$C$21*'NOLH Designs (2)'!S28</f>
        <v>57.809999999999995</v>
      </c>
      <c r="U27" s="12">
        <f>'Actual Values'!$A$25*'NOLH Designs (2)'!T28</f>
        <v>66</v>
      </c>
      <c r="V27" s="12">
        <f>'Actual Values'!$B$25*'NOLH Designs (2)'!T28</f>
        <v>107.36</v>
      </c>
      <c r="W27" s="12">
        <f>'Actual Values'!$A$13*'NOLH Designs (2)'!G28</f>
        <v>20.7</v>
      </c>
      <c r="X27" s="12">
        <f>'Actual Values'!$B$13*'NOLH Designs (2)'!H28</f>
        <v>61.800000000000004</v>
      </c>
      <c r="Y27" s="12">
        <f>'Actual Values'!$A$17*'NOLH Designs (2)'!Q28</f>
        <v>4.08</v>
      </c>
      <c r="Z27" s="12">
        <f>'Actual Values'!$B$17*'NOLH Designs (2)'!R28</f>
        <v>26.73</v>
      </c>
      <c r="AA27" s="12">
        <f>'Actual Values'!$C$17*'NOLH Designs (2)'!Q28</f>
        <v>2.04</v>
      </c>
      <c r="AB27" s="12">
        <f>'Actual Values'!$D$17*'NOLH Designs (2)'!R28</f>
        <v>12.15</v>
      </c>
      <c r="AC27" s="6">
        <v>0.68</v>
      </c>
      <c r="AD27" s="6">
        <v>0.4</v>
      </c>
      <c r="AE27" s="6">
        <v>0.22</v>
      </c>
      <c r="AF27" s="6">
        <v>0.79</v>
      </c>
      <c r="AG27" s="6">
        <v>0.14000000000000001</v>
      </c>
      <c r="AH27" s="6">
        <v>0.38</v>
      </c>
      <c r="AI27" s="6">
        <v>0.16</v>
      </c>
      <c r="AJ27" s="6">
        <v>0.23</v>
      </c>
    </row>
    <row r="28" spans="1:36" x14ac:dyDescent="0.2">
      <c r="A28" s="8">
        <v>154</v>
      </c>
      <c r="B28" s="6">
        <f>'Actual Values'!$B$3*'NOLH Designs (2)'!B29</f>
        <v>5317401.5999999996</v>
      </c>
      <c r="C28" s="6">
        <f>'Actual Values'!$B$5*'NOLH Designs (2)'!B29</f>
        <v>4665427.2</v>
      </c>
      <c r="D28" s="6">
        <f>'Actual Values'!$B$7*'NOLH Designs (2)'!B29</f>
        <v>2448054</v>
      </c>
      <c r="E28" s="6">
        <f>'Actual Values'!$B$9*'NOLH Designs (2)'!B29</f>
        <v>1828514.52</v>
      </c>
      <c r="F28" s="12">
        <f>'Actual Values'!$C$3*'NOLH Designs (2)'!C29</f>
        <v>108518.39999999999</v>
      </c>
      <c r="G28" s="12">
        <f>'Actual Values'!$C$3-'ExpValues Eq'!F28</f>
        <v>1097241.6000000001</v>
      </c>
      <c r="H28" s="12">
        <f>F28+'Actual Values'!$D$3</f>
        <v>331518.40000000002</v>
      </c>
      <c r="I28" s="12">
        <f>'Actual Values'!$C$5*'NOLH Designs (2)'!D29</f>
        <v>507801.59999999998</v>
      </c>
      <c r="J28" s="12">
        <f>'Actual Values'!$C$5-'ExpValues Eq'!I28</f>
        <v>550118.40000000002</v>
      </c>
      <c r="K28" s="12">
        <f>I28+'Actual Values'!$D$5</f>
        <v>765801.6</v>
      </c>
      <c r="L28" s="12">
        <f>'Actual Values'!$C$7*'NOLH Designs (2)'!E29</f>
        <v>88818.240000000005</v>
      </c>
      <c r="M28" s="12">
        <f>'Actual Values'!$C$7-'ExpValues Eq'!L28</f>
        <v>466295.76</v>
      </c>
      <c r="N28" s="12">
        <f>L28+'Actual Values'!$D$7</f>
        <v>262423.24</v>
      </c>
      <c r="O28" s="12">
        <f>'Actual Values'!$C$9*'NOLH Designs (2)'!F29</f>
        <v>24877.739999999998</v>
      </c>
      <c r="P28" s="12">
        <f>'Actual Values'!$C$9-'ExpValues Eq'!O28</f>
        <v>389751.26</v>
      </c>
      <c r="Q28" s="12">
        <f>O28+'Actual Values'!$D$9</f>
        <v>73852.739999999991</v>
      </c>
      <c r="R28" s="12">
        <f>'Actual Values'!$A$21*'NOLH Designs (2)'!S29</f>
        <v>84.179999999999993</v>
      </c>
      <c r="S28" s="12">
        <f>'Actual Values'!$B$21*'NOLH Designs (2)'!S29</f>
        <v>144.20999999999998</v>
      </c>
      <c r="T28" s="12">
        <f>'Actual Values'!$C$21*'NOLH Designs (2)'!S29</f>
        <v>84.86999999999999</v>
      </c>
      <c r="U28" s="12">
        <f>'Actual Values'!$A$25*'NOLH Designs (2)'!T29</f>
        <v>25.500000000000004</v>
      </c>
      <c r="V28" s="12">
        <f>'Actual Values'!$B$25*'NOLH Designs (2)'!T29</f>
        <v>41.480000000000004</v>
      </c>
      <c r="W28" s="12">
        <f>'Actual Values'!$A$13*'NOLH Designs (2)'!G29</f>
        <v>31.8</v>
      </c>
      <c r="X28" s="12">
        <f>'Actual Values'!$B$13*'NOLH Designs (2)'!H29</f>
        <v>66</v>
      </c>
      <c r="Y28" s="12">
        <f>'Actual Values'!$A$17*'NOLH Designs (2)'!Q29</f>
        <v>4.4400000000000004</v>
      </c>
      <c r="Z28" s="12">
        <f>'Actual Values'!$B$17*'NOLH Designs (2)'!R29</f>
        <v>32.339999999999996</v>
      </c>
      <c r="AA28" s="12">
        <f>'Actual Values'!$C$17*'NOLH Designs (2)'!Q29</f>
        <v>2.2200000000000002</v>
      </c>
      <c r="AB28" s="12">
        <f>'Actual Values'!$D$17*'NOLH Designs (2)'!R29</f>
        <v>14.7</v>
      </c>
      <c r="AC28" s="6">
        <v>0.68</v>
      </c>
      <c r="AD28" s="6">
        <v>0.23</v>
      </c>
      <c r="AE28" s="6">
        <v>0.35</v>
      </c>
      <c r="AF28" s="6">
        <v>0.76</v>
      </c>
      <c r="AG28" s="6">
        <v>0.23</v>
      </c>
      <c r="AH28" s="6">
        <v>0.18</v>
      </c>
      <c r="AI28" s="6">
        <v>0.12</v>
      </c>
      <c r="AJ28" s="6">
        <v>0.11</v>
      </c>
    </row>
    <row r="29" spans="1:36" x14ac:dyDescent="0.2">
      <c r="A29" s="8">
        <v>155</v>
      </c>
      <c r="B29" s="6">
        <f>'Actual Values'!$B$3*'NOLH Designs (2)'!B30</f>
        <v>7722892.7999999998</v>
      </c>
      <c r="C29" s="6">
        <f>'Actual Values'!$B$5*'NOLH Designs (2)'!B30</f>
        <v>6775977.5999999996</v>
      </c>
      <c r="D29" s="6">
        <f>'Actual Values'!$B$7*'NOLH Designs (2)'!B30</f>
        <v>3555507</v>
      </c>
      <c r="E29" s="6">
        <f>'Actual Values'!$B$9*'NOLH Designs (2)'!B30</f>
        <v>2655699.66</v>
      </c>
      <c r="F29" s="12">
        <f>'Actual Values'!$C$3*'NOLH Designs (2)'!C30</f>
        <v>506419.19999999995</v>
      </c>
      <c r="G29" s="12">
        <f>'Actual Values'!$C$3-'ExpValues Eq'!F29</f>
        <v>699340.80000000005</v>
      </c>
      <c r="H29" s="12">
        <f>F29+'Actual Values'!$D$3</f>
        <v>729419.2</v>
      </c>
      <c r="I29" s="12">
        <f>'Actual Values'!$C$5*'NOLH Designs (2)'!D30</f>
        <v>179846.40000000002</v>
      </c>
      <c r="J29" s="12">
        <f>'Actual Values'!$C$5-'ExpValues Eq'!I29</f>
        <v>878073.6</v>
      </c>
      <c r="K29" s="12">
        <f>I29+'Actual Values'!$D$5</f>
        <v>437846.4</v>
      </c>
      <c r="L29" s="12">
        <f>'Actual Values'!$C$7*'NOLH Designs (2)'!E30</f>
        <v>116573.94</v>
      </c>
      <c r="M29" s="12">
        <f>'Actual Values'!$C$7-'ExpValues Eq'!L29</f>
        <v>438540.06</v>
      </c>
      <c r="N29" s="12">
        <f>L29+'Actual Values'!$D$7</f>
        <v>290178.94</v>
      </c>
      <c r="O29" s="12">
        <f>'Actual Values'!$C$9*'NOLH Designs (2)'!F30</f>
        <v>124388.7</v>
      </c>
      <c r="P29" s="12">
        <f>'Actual Values'!$C$9-'ExpValues Eq'!O29</f>
        <v>290240.3</v>
      </c>
      <c r="Q29" s="12">
        <f>O29+'Actual Values'!$D$9</f>
        <v>173363.7</v>
      </c>
      <c r="R29" s="12">
        <f>'Actual Values'!$A$21*'NOLH Designs (2)'!S30</f>
        <v>102.47999999999999</v>
      </c>
      <c r="S29" s="12">
        <f>'Actual Values'!$B$21*'NOLH Designs (2)'!S30</f>
        <v>175.56</v>
      </c>
      <c r="T29" s="12">
        <f>'Actual Values'!$C$21*'NOLH Designs (2)'!S30</f>
        <v>103.32</v>
      </c>
      <c r="U29" s="12">
        <f>'Actual Values'!$A$25*'NOLH Designs (2)'!T30</f>
        <v>27</v>
      </c>
      <c r="V29" s="12">
        <f>'Actual Values'!$B$25*'NOLH Designs (2)'!T30</f>
        <v>43.92</v>
      </c>
      <c r="W29" s="12">
        <f>'Actual Values'!$A$13*'NOLH Designs (2)'!G30</f>
        <v>34.5</v>
      </c>
      <c r="X29" s="12">
        <f>'Actual Values'!$B$13*'NOLH Designs (2)'!H30</f>
        <v>37.799999999999997</v>
      </c>
      <c r="Y29" s="12">
        <f>'Actual Values'!$A$17*'NOLH Designs (2)'!Q30</f>
        <v>3.36</v>
      </c>
      <c r="Z29" s="12">
        <f>'Actual Values'!$B$17*'NOLH Designs (2)'!R30</f>
        <v>33.99</v>
      </c>
      <c r="AA29" s="12">
        <f>'Actual Values'!$C$17*'NOLH Designs (2)'!Q30</f>
        <v>1.68</v>
      </c>
      <c r="AB29" s="12">
        <f>'Actual Values'!$D$17*'NOLH Designs (2)'!R30</f>
        <v>15.450000000000001</v>
      </c>
      <c r="AC29" s="6">
        <v>0.84</v>
      </c>
      <c r="AD29" s="6">
        <v>0.28999999999999998</v>
      </c>
      <c r="AE29" s="6">
        <v>0.19</v>
      </c>
      <c r="AF29" s="6">
        <v>0.8</v>
      </c>
      <c r="AG29" s="6">
        <v>0.2</v>
      </c>
      <c r="AH29" s="6">
        <v>0.11</v>
      </c>
      <c r="AI29" s="6">
        <v>0.14000000000000001</v>
      </c>
      <c r="AJ29" s="6">
        <v>0.18</v>
      </c>
    </row>
    <row r="30" spans="1:36" x14ac:dyDescent="0.2">
      <c r="A30" s="8">
        <v>156</v>
      </c>
      <c r="B30" s="6">
        <f>'Actual Values'!$B$3*'NOLH Designs (2)'!B31</f>
        <v>6013728</v>
      </c>
      <c r="C30" s="6">
        <f>'Actual Values'!$B$5*'NOLH Designs (2)'!B31</f>
        <v>5276376</v>
      </c>
      <c r="D30" s="6">
        <f>'Actual Values'!$B$7*'NOLH Designs (2)'!B31</f>
        <v>2768632.5</v>
      </c>
      <c r="E30" s="6">
        <f>'Actual Values'!$B$9*'NOLH Designs (2)'!B31</f>
        <v>2067962.8499999999</v>
      </c>
      <c r="F30" s="12">
        <f>'Actual Values'!$C$3*'NOLH Designs (2)'!C31</f>
        <v>265267.20000000001</v>
      </c>
      <c r="G30" s="12">
        <f>'Actual Values'!$C$3-'ExpValues Eq'!F30</f>
        <v>940492.80000000005</v>
      </c>
      <c r="H30" s="12">
        <f>F30+'Actual Values'!$D$3</f>
        <v>488267.2</v>
      </c>
      <c r="I30" s="12">
        <f>'Actual Values'!$C$5*'NOLH Designs (2)'!D31</f>
        <v>126950.39999999999</v>
      </c>
      <c r="J30" s="12">
        <f>'Actual Values'!$C$5-'ExpValues Eq'!I30</f>
        <v>930969.59999999998</v>
      </c>
      <c r="K30" s="12">
        <f>I30+'Actual Values'!$D$5</f>
        <v>384950.4</v>
      </c>
      <c r="L30" s="12">
        <f>'Actual Values'!$C$7*'NOLH Designs (2)'!E31</f>
        <v>249801.30000000002</v>
      </c>
      <c r="M30" s="12">
        <f>'Actual Values'!$C$7-'ExpValues Eq'!L30</f>
        <v>305312.69999999995</v>
      </c>
      <c r="N30" s="12">
        <f>L30+'Actual Values'!$D$7</f>
        <v>423406.30000000005</v>
      </c>
      <c r="O30" s="12">
        <f>'Actual Values'!$C$9*'NOLH Designs (2)'!F31</f>
        <v>91218.38</v>
      </c>
      <c r="P30" s="12">
        <f>'Actual Values'!$C$9-'ExpValues Eq'!O30</f>
        <v>323410.62</v>
      </c>
      <c r="Q30" s="12">
        <f>O30+'Actual Values'!$D$9</f>
        <v>140193.38</v>
      </c>
      <c r="R30" s="12">
        <f>'Actual Values'!$A$21*'NOLH Designs (2)'!S31</f>
        <v>32.940000000000005</v>
      </c>
      <c r="S30" s="12">
        <f>'Actual Values'!$B$21*'NOLH Designs (2)'!S31</f>
        <v>56.430000000000007</v>
      </c>
      <c r="T30" s="12">
        <f>'Actual Values'!$C$21*'NOLH Designs (2)'!S31</f>
        <v>33.21</v>
      </c>
      <c r="U30" s="12">
        <f>'Actual Values'!$A$25*'NOLH Designs (2)'!T31</f>
        <v>45</v>
      </c>
      <c r="V30" s="12">
        <f>'Actual Values'!$B$25*'NOLH Designs (2)'!T31</f>
        <v>73.2</v>
      </c>
      <c r="W30" s="12">
        <f>'Actual Values'!$A$13*'NOLH Designs (2)'!G31</f>
        <v>25.5</v>
      </c>
      <c r="X30" s="12">
        <f>'Actual Values'!$B$13*'NOLH Designs (2)'!H31</f>
        <v>45.6</v>
      </c>
      <c r="Y30" s="12">
        <f>'Actual Values'!$A$17*'NOLH Designs (2)'!Q31</f>
        <v>4.84</v>
      </c>
      <c r="Z30" s="12">
        <f>'Actual Values'!$B$17*'NOLH Designs (2)'!R31</f>
        <v>25.740000000000002</v>
      </c>
      <c r="AA30" s="12">
        <f>'Actual Values'!$C$17*'NOLH Designs (2)'!Q31</f>
        <v>2.42</v>
      </c>
      <c r="AB30" s="12">
        <f>'Actual Values'!$D$17*'NOLH Designs (2)'!R31</f>
        <v>11.700000000000001</v>
      </c>
      <c r="AC30" s="6">
        <v>0.69</v>
      </c>
      <c r="AD30" s="6">
        <v>0.19</v>
      </c>
      <c r="AE30" s="6">
        <v>0.35</v>
      </c>
      <c r="AF30" s="6">
        <v>0.74</v>
      </c>
      <c r="AG30" s="6">
        <v>0.31</v>
      </c>
      <c r="AH30" s="6">
        <v>0.25</v>
      </c>
      <c r="AI30" s="6">
        <v>0.13</v>
      </c>
      <c r="AJ30" s="6">
        <v>0.18</v>
      </c>
    </row>
    <row r="31" spans="1:36" x14ac:dyDescent="0.2">
      <c r="A31" s="8">
        <v>157</v>
      </c>
      <c r="B31" s="6">
        <f>'Actual Values'!$B$3*'NOLH Designs (2)'!B32</f>
        <v>5254099.2</v>
      </c>
      <c r="C31" s="6">
        <f>'Actual Values'!$B$5*'NOLH Designs (2)'!B32</f>
        <v>4609886.3999999994</v>
      </c>
      <c r="D31" s="6">
        <f>'Actual Values'!$B$7*'NOLH Designs (2)'!B32</f>
        <v>2418910.5</v>
      </c>
      <c r="E31" s="6">
        <f>'Actual Values'!$B$9*'NOLH Designs (2)'!B32</f>
        <v>1806746.49</v>
      </c>
      <c r="F31" s="12">
        <f>'Actual Values'!$C$3*'NOLH Designs (2)'!C32</f>
        <v>60288</v>
      </c>
      <c r="G31" s="12">
        <f>'Actual Values'!$C$3-'ExpValues Eq'!F31</f>
        <v>1145472</v>
      </c>
      <c r="H31" s="12">
        <f>F31+'Actual Values'!$D$3</f>
        <v>283288</v>
      </c>
      <c r="I31" s="12">
        <f>'Actual Values'!$C$5*'NOLH Designs (2)'!D32</f>
        <v>454905.59999999998</v>
      </c>
      <c r="J31" s="12">
        <f>'Actual Values'!$C$5-'ExpValues Eq'!I31</f>
        <v>603014.40000000002</v>
      </c>
      <c r="K31" s="12">
        <f>I31+'Actual Values'!$D$5</f>
        <v>712905.6</v>
      </c>
      <c r="L31" s="12">
        <f>'Actual Values'!$C$7*'NOLH Designs (2)'!E32</f>
        <v>16653.419999999998</v>
      </c>
      <c r="M31" s="12">
        <f>'Actual Values'!$C$7-'ExpValues Eq'!L31</f>
        <v>538460.57999999996</v>
      </c>
      <c r="N31" s="12">
        <f>L31+'Actual Values'!$D$7</f>
        <v>190258.41999999998</v>
      </c>
      <c r="O31" s="12">
        <f>'Actual Values'!$C$9*'NOLH Designs (2)'!F32</f>
        <v>111949.83</v>
      </c>
      <c r="P31" s="12">
        <f>'Actual Values'!$C$9-'ExpValues Eq'!O31</f>
        <v>302679.17</v>
      </c>
      <c r="Q31" s="12">
        <f>O31+'Actual Values'!$D$9</f>
        <v>160924.83000000002</v>
      </c>
      <c r="R31" s="12">
        <f>'Actual Values'!$A$21*'NOLH Designs (2)'!S32</f>
        <v>34.160000000000004</v>
      </c>
      <c r="S31" s="12">
        <f>'Actual Values'!$B$21*'NOLH Designs (2)'!S32</f>
        <v>58.52</v>
      </c>
      <c r="T31" s="12">
        <f>'Actual Values'!$C$21*'NOLH Designs (2)'!S32</f>
        <v>34.440000000000005</v>
      </c>
      <c r="U31" s="12">
        <f>'Actual Values'!$A$25*'NOLH Designs (2)'!T32</f>
        <v>72</v>
      </c>
      <c r="V31" s="12">
        <f>'Actual Values'!$B$25*'NOLH Designs (2)'!T32</f>
        <v>117.11999999999999</v>
      </c>
      <c r="W31" s="12">
        <f>'Actual Values'!$A$13*'NOLH Designs (2)'!G32</f>
        <v>21.299999999999997</v>
      </c>
      <c r="X31" s="12">
        <f>'Actual Values'!$B$13*'NOLH Designs (2)'!H32</f>
        <v>64.2</v>
      </c>
      <c r="Y31" s="12">
        <f>'Actual Values'!$A$17*'NOLH Designs (2)'!Q32</f>
        <v>4.28</v>
      </c>
      <c r="Z31" s="12">
        <f>'Actual Values'!$B$17*'NOLH Designs (2)'!R32</f>
        <v>40.92</v>
      </c>
      <c r="AA31" s="12">
        <f>'Actual Values'!$C$17*'NOLH Designs (2)'!Q32</f>
        <v>2.14</v>
      </c>
      <c r="AB31" s="12">
        <f>'Actual Values'!$D$17*'NOLH Designs (2)'!R32</f>
        <v>18.600000000000001</v>
      </c>
      <c r="AC31" s="6">
        <v>0.78</v>
      </c>
      <c r="AD31" s="6">
        <v>0.39</v>
      </c>
      <c r="AE31" s="6">
        <v>0.12</v>
      </c>
      <c r="AF31" s="6">
        <v>0.69</v>
      </c>
      <c r="AG31" s="6">
        <v>0.34</v>
      </c>
      <c r="AH31" s="6">
        <v>0.28000000000000003</v>
      </c>
      <c r="AI31" s="6">
        <v>0.11</v>
      </c>
      <c r="AJ31" s="6">
        <v>0.2</v>
      </c>
    </row>
    <row r="32" spans="1:36" x14ac:dyDescent="0.2">
      <c r="A32" s="8">
        <v>158</v>
      </c>
      <c r="B32" s="6">
        <f>'Actual Values'!$B$3*'NOLH Designs (2)'!B33</f>
        <v>5633913.5999999996</v>
      </c>
      <c r="C32" s="6">
        <f>'Actual Values'!$B$5*'NOLH Designs (2)'!B33</f>
        <v>4943131.2</v>
      </c>
      <c r="D32" s="6">
        <f>'Actual Values'!$B$7*'NOLH Designs (2)'!B33</f>
        <v>2593771.5</v>
      </c>
      <c r="E32" s="6">
        <f>'Actual Values'!$B$9*'NOLH Designs (2)'!B33</f>
        <v>1937354.67</v>
      </c>
      <c r="F32" s="12">
        <f>'Actual Values'!$C$3*'NOLH Designs (2)'!C33</f>
        <v>494361.59999999998</v>
      </c>
      <c r="G32" s="12">
        <f>'Actual Values'!$C$3-'ExpValues Eq'!F32</f>
        <v>711398.40000000002</v>
      </c>
      <c r="H32" s="12">
        <f>F32+'Actual Values'!$D$3</f>
        <v>717361.6</v>
      </c>
      <c r="I32" s="12">
        <f>'Actual Values'!$C$5*'NOLH Designs (2)'!D33</f>
        <v>349113.60000000003</v>
      </c>
      <c r="J32" s="12">
        <f>'Actual Values'!$C$5-'ExpValues Eq'!I32</f>
        <v>708806.39999999991</v>
      </c>
      <c r="K32" s="12">
        <f>I32+'Actual Values'!$D$5</f>
        <v>607113.60000000009</v>
      </c>
      <c r="L32" s="12">
        <f>'Actual Values'!$C$7*'NOLH Designs (2)'!E33</f>
        <v>160983.06</v>
      </c>
      <c r="M32" s="12">
        <f>'Actual Values'!$C$7-'ExpValues Eq'!L32</f>
        <v>394130.94</v>
      </c>
      <c r="N32" s="12">
        <f>L32+'Actual Values'!$D$7</f>
        <v>334588.06</v>
      </c>
      <c r="O32" s="12">
        <f>'Actual Values'!$C$9*'NOLH Designs (2)'!F33</f>
        <v>145120.15</v>
      </c>
      <c r="P32" s="12">
        <f>'Actual Values'!$C$9-'ExpValues Eq'!O32</f>
        <v>269508.84999999998</v>
      </c>
      <c r="Q32" s="12">
        <f>O32+'Actual Values'!$D$9</f>
        <v>194095.15</v>
      </c>
      <c r="R32" s="12">
        <f>'Actual Values'!$A$21*'NOLH Designs (2)'!S33</f>
        <v>106.14</v>
      </c>
      <c r="S32" s="12">
        <f>'Actual Values'!$B$21*'NOLH Designs (2)'!S33</f>
        <v>181.83</v>
      </c>
      <c r="T32" s="12">
        <f>'Actual Values'!$C$21*'NOLH Designs (2)'!S33</f>
        <v>107.01</v>
      </c>
      <c r="U32" s="12">
        <f>'Actual Values'!$A$25*'NOLH Designs (2)'!T33</f>
        <v>35.25</v>
      </c>
      <c r="V32" s="12">
        <f>'Actual Values'!$B$25*'NOLH Designs (2)'!T33</f>
        <v>57.339999999999996</v>
      </c>
      <c r="W32" s="12">
        <f>'Actual Values'!$A$13*'NOLH Designs (2)'!G33</f>
        <v>23.400000000000002</v>
      </c>
      <c r="X32" s="12">
        <f>'Actual Values'!$B$13*'NOLH Designs (2)'!H33</f>
        <v>56.4</v>
      </c>
      <c r="Y32" s="12">
        <f>'Actual Values'!$A$17*'NOLH Designs (2)'!Q33</f>
        <v>3.24</v>
      </c>
      <c r="Z32" s="12">
        <f>'Actual Values'!$B$17*'NOLH Designs (2)'!R33</f>
        <v>37.29</v>
      </c>
      <c r="AA32" s="12">
        <f>'Actual Values'!$C$17*'NOLH Designs (2)'!Q33</f>
        <v>1.62</v>
      </c>
      <c r="AB32" s="12">
        <f>'Actual Values'!$D$17*'NOLH Designs (2)'!R33</f>
        <v>16.95</v>
      </c>
      <c r="AC32" s="6">
        <v>0.71</v>
      </c>
      <c r="AD32" s="6">
        <v>0.19</v>
      </c>
      <c r="AE32" s="6">
        <v>0.24</v>
      </c>
      <c r="AF32" s="6">
        <v>0.61</v>
      </c>
      <c r="AG32" s="6">
        <v>0.12</v>
      </c>
      <c r="AH32" s="6">
        <v>0.11</v>
      </c>
      <c r="AI32" s="6">
        <v>0.23</v>
      </c>
      <c r="AJ32" s="6">
        <v>0.25</v>
      </c>
    </row>
    <row r="33" spans="1:36" x14ac:dyDescent="0.2">
      <c r="A33" s="8">
        <v>159</v>
      </c>
      <c r="B33" s="6">
        <f>'Actual Values'!$B$3*'NOLH Designs (2)'!B34</f>
        <v>6266937.5999999996</v>
      </c>
      <c r="C33" s="6">
        <f>'Actual Values'!$B$5*'NOLH Designs (2)'!B34</f>
        <v>5498539.2000000002</v>
      </c>
      <c r="D33" s="6">
        <f>'Actual Values'!$B$7*'NOLH Designs (2)'!B34</f>
        <v>2885206.5</v>
      </c>
      <c r="E33" s="6">
        <f>'Actual Values'!$B$9*'NOLH Designs (2)'!B34</f>
        <v>2155034.9700000002</v>
      </c>
      <c r="F33" s="12">
        <f>'Actual Values'!$C$3*'NOLH Designs (2)'!C34</f>
        <v>397900.80000000005</v>
      </c>
      <c r="G33" s="12">
        <f>'Actual Values'!$C$3-'ExpValues Eq'!F33</f>
        <v>807859.19999999995</v>
      </c>
      <c r="H33" s="12">
        <f>F33+'Actual Values'!$D$3</f>
        <v>620900.80000000005</v>
      </c>
      <c r="I33" s="12">
        <f>'Actual Values'!$C$5*'NOLH Designs (2)'!D34</f>
        <v>285638.40000000002</v>
      </c>
      <c r="J33" s="12">
        <f>'Actual Values'!$C$5-'ExpValues Eq'!I33</f>
        <v>772281.6</v>
      </c>
      <c r="K33" s="12">
        <f>I33+'Actual Values'!$D$5</f>
        <v>543638.4</v>
      </c>
      <c r="L33" s="12">
        <f>'Actual Values'!$C$7*'NOLH Designs (2)'!E34</f>
        <v>205392.18</v>
      </c>
      <c r="M33" s="12">
        <f>'Actual Values'!$C$7-'ExpValues Eq'!L33</f>
        <v>349721.82</v>
      </c>
      <c r="N33" s="12">
        <f>L33+'Actual Values'!$D$7</f>
        <v>378997.18</v>
      </c>
      <c r="O33" s="12">
        <f>'Actual Values'!$C$9*'NOLH Designs (2)'!F34</f>
        <v>70486.930000000008</v>
      </c>
      <c r="P33" s="12">
        <f>'Actual Values'!$C$9-'ExpValues Eq'!O33</f>
        <v>344142.07</v>
      </c>
      <c r="Q33" s="12">
        <f>O33+'Actual Values'!$D$9</f>
        <v>119461.93000000001</v>
      </c>
      <c r="R33" s="12">
        <f>'Actual Values'!$A$21*'NOLH Designs (2)'!S34</f>
        <v>97.600000000000009</v>
      </c>
      <c r="S33" s="12">
        <f>'Actual Values'!$B$21*'NOLH Designs (2)'!S34</f>
        <v>167.20000000000002</v>
      </c>
      <c r="T33" s="12">
        <f>'Actual Values'!$C$21*'NOLH Designs (2)'!S34</f>
        <v>98.4</v>
      </c>
      <c r="U33" s="12">
        <f>'Actual Values'!$A$25*'NOLH Designs (2)'!T34</f>
        <v>19.5</v>
      </c>
      <c r="V33" s="12">
        <f>'Actual Values'!$B$25*'NOLH Designs (2)'!T34</f>
        <v>31.720000000000002</v>
      </c>
      <c r="W33" s="12">
        <f>'Actual Values'!$A$13*'NOLH Designs (2)'!G34</f>
        <v>18.899999999999999</v>
      </c>
      <c r="X33" s="12">
        <f>'Actual Values'!$B$13*'NOLH Designs (2)'!H34</f>
        <v>52.8</v>
      </c>
      <c r="Y33" s="12">
        <f>'Actual Values'!$A$17*'NOLH Designs (2)'!Q34</f>
        <v>4.96</v>
      </c>
      <c r="Z33" s="12">
        <f>'Actual Values'!$B$17*'NOLH Designs (2)'!R34</f>
        <v>30.69</v>
      </c>
      <c r="AA33" s="12">
        <f>'Actual Values'!$C$17*'NOLH Designs (2)'!Q34</f>
        <v>2.48</v>
      </c>
      <c r="AB33" s="12">
        <f>'Actual Values'!$D$17*'NOLH Designs (2)'!R34</f>
        <v>13.950000000000001</v>
      </c>
      <c r="AC33" s="6">
        <v>0.87</v>
      </c>
      <c r="AD33" s="6">
        <v>0.27</v>
      </c>
      <c r="AE33" s="6">
        <v>0.21</v>
      </c>
      <c r="AF33" s="6">
        <v>0.69</v>
      </c>
      <c r="AG33" s="6">
        <v>0.14000000000000001</v>
      </c>
      <c r="AH33" s="6">
        <v>0.21</v>
      </c>
      <c r="AI33" s="6">
        <v>0.24</v>
      </c>
      <c r="AJ33" s="6">
        <v>0.3</v>
      </c>
    </row>
  </sheetData>
  <mergeCells count="27">
    <mergeCell ref="AJ2:AJ3"/>
    <mergeCell ref="AE2:AE3"/>
    <mergeCell ref="AF2:AF3"/>
    <mergeCell ref="AG2:AG3"/>
    <mergeCell ref="AH2:AH3"/>
    <mergeCell ref="AI2:AI3"/>
    <mergeCell ref="F2:H2"/>
    <mergeCell ref="I2:K2"/>
    <mergeCell ref="L2:N2"/>
    <mergeCell ref="O2:Q2"/>
    <mergeCell ref="AD2:AD3"/>
    <mergeCell ref="B1:E2"/>
    <mergeCell ref="F1:V1"/>
    <mergeCell ref="W2:W3"/>
    <mergeCell ref="X2:X3"/>
    <mergeCell ref="AC2:AC3"/>
    <mergeCell ref="S2:S3"/>
    <mergeCell ref="T2:T3"/>
    <mergeCell ref="U2:U3"/>
    <mergeCell ref="V2:V3"/>
    <mergeCell ref="Y2:Y3"/>
    <mergeCell ref="Z2:Z3"/>
    <mergeCell ref="AA2:AA3"/>
    <mergeCell ref="AB2:AB3"/>
    <mergeCell ref="R2:R3"/>
    <mergeCell ref="W1:AB1"/>
    <mergeCell ref="AC1:A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459B0-9634-274E-8D5D-8C692E12C4B1}">
  <dimension ref="A1:AJ33"/>
  <sheetViews>
    <sheetView zoomScale="125" workbookViewId="0">
      <selection sqref="A1:A2"/>
    </sheetView>
  </sheetViews>
  <sheetFormatPr baseColWidth="10" defaultRowHeight="16" x14ac:dyDescent="0.2"/>
  <cols>
    <col min="1" max="1" width="10.6640625" style="48" bestFit="1" customWidth="1"/>
    <col min="2" max="4" width="10" style="49" bestFit="1" customWidth="1"/>
    <col min="5" max="5" width="11.1640625" style="49" bestFit="1" customWidth="1"/>
    <col min="6" max="6" width="9.1640625" style="49" bestFit="1" customWidth="1"/>
    <col min="7" max="7" width="10" style="49" bestFit="1" customWidth="1"/>
    <col min="8" max="8" width="10.1640625" style="49" bestFit="1" customWidth="1"/>
    <col min="9" max="9" width="9.1640625" style="49" bestFit="1" customWidth="1"/>
    <col min="10" max="10" width="10" style="49" bestFit="1" customWidth="1"/>
    <col min="11" max="11" width="9.83203125" style="49" bestFit="1" customWidth="1"/>
    <col min="12" max="17" width="10" style="49" bestFit="1" customWidth="1"/>
    <col min="18" max="20" width="10.83203125" style="49"/>
    <col min="21" max="22" width="10.33203125" style="49" bestFit="1" customWidth="1"/>
    <col min="23" max="23" width="10.83203125" style="49"/>
    <col min="24" max="24" width="10.1640625" style="49" bestFit="1" customWidth="1"/>
    <col min="25" max="25" width="10.6640625" style="49" bestFit="1" customWidth="1"/>
    <col min="26" max="26" width="10.5" style="49" bestFit="1" customWidth="1"/>
    <col min="27" max="27" width="10" style="49" bestFit="1" customWidth="1"/>
    <col min="28" max="28" width="10.5" style="49" bestFit="1" customWidth="1"/>
    <col min="29" max="29" width="24.5" style="49" bestFit="1" customWidth="1"/>
    <col min="30" max="30" width="16" style="49" bestFit="1" customWidth="1"/>
    <col min="31" max="31" width="14.6640625" style="49" customWidth="1"/>
    <col min="32" max="32" width="16.6640625" style="49" bestFit="1" customWidth="1"/>
    <col min="33" max="33" width="16" style="49" bestFit="1" customWidth="1"/>
    <col min="34" max="34" width="21.1640625" style="49" bestFit="1" customWidth="1"/>
    <col min="35" max="35" width="25.83203125" style="49" bestFit="1" customWidth="1"/>
    <col min="36" max="36" width="20.83203125" style="49" bestFit="1" customWidth="1"/>
    <col min="37" max="16384" width="10.83203125" style="49"/>
  </cols>
  <sheetData>
    <row r="1" spans="1:36" s="52" customFormat="1" ht="56" customHeight="1" x14ac:dyDescent="0.2">
      <c r="A1" s="119" t="s">
        <v>3</v>
      </c>
      <c r="B1" s="118" t="s">
        <v>110</v>
      </c>
      <c r="C1" s="118"/>
      <c r="D1" s="118"/>
      <c r="E1" s="118"/>
      <c r="F1" s="118" t="s">
        <v>147</v>
      </c>
      <c r="G1" s="118"/>
      <c r="H1" s="118"/>
      <c r="I1" s="118"/>
      <c r="J1" s="118"/>
      <c r="K1" s="118"/>
      <c r="L1" s="118"/>
      <c r="M1" s="118"/>
      <c r="N1" s="118"/>
      <c r="O1" s="118"/>
      <c r="P1" s="118"/>
      <c r="Q1" s="118"/>
      <c r="R1" s="118"/>
      <c r="S1" s="118"/>
      <c r="T1" s="118"/>
      <c r="U1" s="118"/>
      <c r="V1" s="118"/>
      <c r="W1" s="118" t="s">
        <v>129</v>
      </c>
      <c r="X1" s="118"/>
      <c r="Y1" s="118"/>
      <c r="Z1" s="118"/>
      <c r="AA1" s="118"/>
      <c r="AB1" s="118"/>
      <c r="AC1" s="118" t="s">
        <v>148</v>
      </c>
      <c r="AD1" s="118"/>
      <c r="AE1" s="118"/>
      <c r="AF1" s="118"/>
      <c r="AG1" s="118"/>
      <c r="AH1" s="118"/>
      <c r="AI1" s="118"/>
      <c r="AJ1" s="118"/>
    </row>
    <row r="2" spans="1:36" s="52" customFormat="1" ht="85" x14ac:dyDescent="0.2">
      <c r="A2" s="119"/>
      <c r="B2" s="118"/>
      <c r="C2" s="118"/>
      <c r="D2" s="118"/>
      <c r="E2" s="118"/>
      <c r="F2" s="119" t="s">
        <v>4</v>
      </c>
      <c r="G2" s="119"/>
      <c r="H2" s="119"/>
      <c r="I2" s="119" t="s">
        <v>5</v>
      </c>
      <c r="J2" s="119"/>
      <c r="K2" s="119"/>
      <c r="L2" s="119" t="s">
        <v>6</v>
      </c>
      <c r="M2" s="119"/>
      <c r="N2" s="119"/>
      <c r="O2" s="119" t="s">
        <v>7</v>
      </c>
      <c r="P2" s="119"/>
      <c r="Q2" s="119"/>
      <c r="R2" s="53" t="s">
        <v>33</v>
      </c>
      <c r="S2" s="53" t="s">
        <v>34</v>
      </c>
      <c r="T2" s="53" t="s">
        <v>35</v>
      </c>
      <c r="U2" s="53" t="s">
        <v>36</v>
      </c>
      <c r="V2" s="53" t="s">
        <v>37</v>
      </c>
      <c r="W2" s="53" t="s">
        <v>8</v>
      </c>
      <c r="X2" s="53" t="s">
        <v>9</v>
      </c>
      <c r="Y2" s="53" t="s">
        <v>29</v>
      </c>
      <c r="Z2" s="53" t="s">
        <v>30</v>
      </c>
      <c r="AA2" s="53" t="s">
        <v>31</v>
      </c>
      <c r="AB2" s="53" t="s">
        <v>32</v>
      </c>
      <c r="AC2" s="53" t="s">
        <v>10</v>
      </c>
      <c r="AD2" s="53" t="s">
        <v>11</v>
      </c>
      <c r="AE2" s="53" t="s">
        <v>12</v>
      </c>
      <c r="AF2" s="53" t="s">
        <v>13</v>
      </c>
      <c r="AG2" s="53" t="s">
        <v>14</v>
      </c>
      <c r="AH2" s="53" t="s">
        <v>15</v>
      </c>
      <c r="AI2" s="53" t="s">
        <v>16</v>
      </c>
      <c r="AJ2" s="53" t="s">
        <v>17</v>
      </c>
    </row>
    <row r="3" spans="1:36" s="52" customFormat="1" ht="34" x14ac:dyDescent="0.2">
      <c r="A3" s="50"/>
      <c r="B3" s="53" t="s">
        <v>26</v>
      </c>
      <c r="C3" s="53" t="s">
        <v>25</v>
      </c>
      <c r="D3" s="53" t="s">
        <v>27</v>
      </c>
      <c r="E3" s="53" t="s">
        <v>28</v>
      </c>
      <c r="F3" s="53" t="s">
        <v>40</v>
      </c>
      <c r="G3" s="53" t="s">
        <v>38</v>
      </c>
      <c r="H3" s="53" t="s">
        <v>39</v>
      </c>
      <c r="I3" s="53" t="s">
        <v>40</v>
      </c>
      <c r="J3" s="53" t="s">
        <v>41</v>
      </c>
      <c r="K3" s="53" t="s">
        <v>42</v>
      </c>
      <c r="L3" s="53" t="s">
        <v>40</v>
      </c>
      <c r="M3" s="53" t="s">
        <v>43</v>
      </c>
      <c r="N3" s="53" t="s">
        <v>44</v>
      </c>
      <c r="O3" s="53" t="s">
        <v>40</v>
      </c>
      <c r="P3" s="53" t="s">
        <v>45</v>
      </c>
      <c r="Q3" s="53" t="s">
        <v>46</v>
      </c>
      <c r="R3" s="53"/>
      <c r="S3" s="53"/>
      <c r="T3" s="53"/>
      <c r="U3" s="53"/>
      <c r="V3" s="53"/>
      <c r="W3" s="53"/>
      <c r="X3" s="53"/>
      <c r="Y3" s="53"/>
      <c r="Z3" s="53"/>
      <c r="AA3" s="53"/>
      <c r="AB3" s="53"/>
      <c r="AC3" s="53"/>
      <c r="AD3" s="53"/>
      <c r="AE3" s="53"/>
      <c r="AF3" s="53"/>
      <c r="AG3" s="53"/>
      <c r="AH3" s="53"/>
      <c r="AI3" s="53"/>
      <c r="AJ3" s="53"/>
    </row>
    <row r="4" spans="1:36" ht="25" customHeight="1" x14ac:dyDescent="0.2">
      <c r="A4" s="51">
        <v>130</v>
      </c>
      <c r="B4" s="51">
        <v>7153171.1999999993</v>
      </c>
      <c r="C4" s="51">
        <v>6276110.3999999994</v>
      </c>
      <c r="D4" s="51">
        <v>3293215.4999999995</v>
      </c>
      <c r="E4" s="51">
        <v>2459787.3899999997</v>
      </c>
      <c r="F4" s="51">
        <v>204979.20000000001</v>
      </c>
      <c r="G4" s="51">
        <v>1000780.8</v>
      </c>
      <c r="H4" s="51">
        <v>427979.2</v>
      </c>
      <c r="I4" s="51">
        <v>327955.20000000001</v>
      </c>
      <c r="J4" s="51">
        <v>729964.8</v>
      </c>
      <c r="K4" s="51">
        <v>585955.19999999995</v>
      </c>
      <c r="L4" s="51">
        <v>44409.120000000003</v>
      </c>
      <c r="M4" s="51">
        <v>510704.88</v>
      </c>
      <c r="N4" s="51">
        <v>218014.12</v>
      </c>
      <c r="O4" s="51">
        <v>186583.05000000002</v>
      </c>
      <c r="P4" s="51">
        <v>228045.94999999998</v>
      </c>
      <c r="Q4" s="51">
        <v>235558.05000000002</v>
      </c>
      <c r="R4" s="51">
        <v>47.58</v>
      </c>
      <c r="S4" s="51">
        <v>81.510000000000005</v>
      </c>
      <c r="T4" s="51">
        <v>47.97</v>
      </c>
      <c r="U4" s="51">
        <v>32.25</v>
      </c>
      <c r="V4" s="51">
        <v>52.46</v>
      </c>
      <c r="W4" s="51">
        <v>32.700000000000003</v>
      </c>
      <c r="X4" s="51">
        <v>55.2</v>
      </c>
      <c r="Y4" s="51">
        <v>4.32</v>
      </c>
      <c r="Z4" s="51">
        <v>35.64</v>
      </c>
      <c r="AA4" s="51">
        <v>2.16</v>
      </c>
      <c r="AB4" s="51">
        <v>16.200000000000003</v>
      </c>
      <c r="AC4" s="51">
        <v>0.83</v>
      </c>
      <c r="AD4" s="51">
        <v>0.27</v>
      </c>
      <c r="AE4" s="51">
        <v>0.38</v>
      </c>
      <c r="AF4" s="51">
        <v>0.83</v>
      </c>
      <c r="AG4" s="51">
        <v>0.33</v>
      </c>
      <c r="AH4" s="51">
        <v>0.28000000000000003</v>
      </c>
      <c r="AI4" s="51">
        <v>0.3</v>
      </c>
      <c r="AJ4" s="51">
        <v>0.28999999999999998</v>
      </c>
    </row>
    <row r="5" spans="1:36" ht="25" customHeight="1" x14ac:dyDescent="0.2">
      <c r="A5" s="51">
        <v>131</v>
      </c>
      <c r="B5" s="51">
        <v>5064192</v>
      </c>
      <c r="C5" s="51">
        <v>4443264</v>
      </c>
      <c r="D5" s="51">
        <v>2331480</v>
      </c>
      <c r="E5" s="51">
        <v>1741442.4000000001</v>
      </c>
      <c r="F5" s="51">
        <v>482304</v>
      </c>
      <c r="G5" s="51">
        <v>723456</v>
      </c>
      <c r="H5" s="51">
        <v>705304</v>
      </c>
      <c r="I5" s="51">
        <v>201004.79999999999</v>
      </c>
      <c r="J5" s="51">
        <v>856915.2</v>
      </c>
      <c r="K5" s="51">
        <v>459004.8</v>
      </c>
      <c r="L5" s="51">
        <v>227596.74</v>
      </c>
      <c r="M5" s="51">
        <v>327517.26</v>
      </c>
      <c r="N5" s="51">
        <v>401201.74</v>
      </c>
      <c r="O5" s="51">
        <v>194875.62999999998</v>
      </c>
      <c r="P5" s="51">
        <v>219753.37000000002</v>
      </c>
      <c r="Q5" s="51">
        <v>243850.62999999998</v>
      </c>
      <c r="R5" s="51">
        <v>42.699999999999996</v>
      </c>
      <c r="S5" s="51">
        <v>73.149999999999991</v>
      </c>
      <c r="T5" s="51">
        <v>43.05</v>
      </c>
      <c r="U5" s="51">
        <v>64.5</v>
      </c>
      <c r="V5" s="51">
        <v>104.92</v>
      </c>
      <c r="W5" s="51">
        <v>35.4</v>
      </c>
      <c r="X5" s="51">
        <v>82.2</v>
      </c>
      <c r="Y5" s="51">
        <v>3.16</v>
      </c>
      <c r="Z5" s="51">
        <v>29.37</v>
      </c>
      <c r="AA5" s="51">
        <v>1.58</v>
      </c>
      <c r="AB5" s="51">
        <v>13.35</v>
      </c>
      <c r="AC5" s="51">
        <v>0.66</v>
      </c>
      <c r="AD5" s="51">
        <v>0.24</v>
      </c>
      <c r="AE5" s="51">
        <v>0.21</v>
      </c>
      <c r="AF5" s="51">
        <v>0.88</v>
      </c>
      <c r="AG5" s="51">
        <v>0.28000000000000003</v>
      </c>
      <c r="AH5" s="51">
        <v>0.28999999999999998</v>
      </c>
      <c r="AI5" s="51">
        <v>0.28999999999999998</v>
      </c>
      <c r="AJ5" s="51">
        <v>0.25</v>
      </c>
    </row>
    <row r="6" spans="1:36" ht="25" customHeight="1" x14ac:dyDescent="0.2">
      <c r="A6" s="51">
        <v>132</v>
      </c>
      <c r="B6" s="51">
        <v>6203635.2000000002</v>
      </c>
      <c r="C6" s="51">
        <v>5442998.3999999994</v>
      </c>
      <c r="D6" s="51">
        <v>2856063</v>
      </c>
      <c r="E6" s="51">
        <v>2133266.94</v>
      </c>
      <c r="F6" s="51">
        <v>12057.6</v>
      </c>
      <c r="G6" s="51">
        <v>1193702.3999999999</v>
      </c>
      <c r="H6" s="51">
        <v>235057.6</v>
      </c>
      <c r="I6" s="51">
        <v>402009.59999999998</v>
      </c>
      <c r="J6" s="51">
        <v>655910.40000000002</v>
      </c>
      <c r="K6" s="51">
        <v>660009.6</v>
      </c>
      <c r="L6" s="51">
        <v>138778.5</v>
      </c>
      <c r="M6" s="51">
        <v>416335.5</v>
      </c>
      <c r="N6" s="51">
        <v>312383.5</v>
      </c>
      <c r="O6" s="51">
        <v>62194.35</v>
      </c>
      <c r="P6" s="51">
        <v>352434.65</v>
      </c>
      <c r="Q6" s="51">
        <v>111169.35</v>
      </c>
      <c r="R6" s="51">
        <v>42.699999999999996</v>
      </c>
      <c r="S6" s="51">
        <v>73.149999999999991</v>
      </c>
      <c r="T6" s="51">
        <v>43.05</v>
      </c>
      <c r="U6" s="51">
        <v>38.25</v>
      </c>
      <c r="V6" s="51">
        <v>62.22</v>
      </c>
      <c r="W6" s="51">
        <v>24.9</v>
      </c>
      <c r="X6" s="51">
        <v>71.399999999999991</v>
      </c>
      <c r="Y6" s="51">
        <v>4.5199999999999996</v>
      </c>
      <c r="Z6" s="51">
        <v>38.279999999999994</v>
      </c>
      <c r="AA6" s="51">
        <v>2.2599999999999998</v>
      </c>
      <c r="AB6" s="51">
        <v>17.399999999999999</v>
      </c>
      <c r="AC6" s="51">
        <v>0.79</v>
      </c>
      <c r="AD6" s="51">
        <v>0.28000000000000003</v>
      </c>
      <c r="AE6" s="51">
        <v>0.27</v>
      </c>
      <c r="AF6" s="51">
        <v>0.74</v>
      </c>
      <c r="AG6" s="51">
        <v>0.15</v>
      </c>
      <c r="AH6" s="51">
        <v>0.25</v>
      </c>
      <c r="AI6" s="51">
        <v>0.27</v>
      </c>
      <c r="AJ6" s="51">
        <v>0.3</v>
      </c>
    </row>
    <row r="7" spans="1:36" ht="25" customHeight="1" x14ac:dyDescent="0.2">
      <c r="A7" s="51">
        <v>133</v>
      </c>
      <c r="B7" s="51">
        <v>7532985.5999999996</v>
      </c>
      <c r="C7" s="51">
        <v>6609355.1999999993</v>
      </c>
      <c r="D7" s="51">
        <v>3468076.5</v>
      </c>
      <c r="E7" s="51">
        <v>2590395.5699999998</v>
      </c>
      <c r="F7" s="51">
        <v>590822.40000000002</v>
      </c>
      <c r="G7" s="51">
        <v>614937.59999999998</v>
      </c>
      <c r="H7" s="51">
        <v>813822.4</v>
      </c>
      <c r="I7" s="51">
        <v>222163.19999999998</v>
      </c>
      <c r="J7" s="51">
        <v>835756.8</v>
      </c>
      <c r="K7" s="51">
        <v>480163.19999999995</v>
      </c>
      <c r="L7" s="51">
        <v>66613.679999999993</v>
      </c>
      <c r="M7" s="51">
        <v>488500.32</v>
      </c>
      <c r="N7" s="51">
        <v>240218.68</v>
      </c>
      <c r="O7" s="51">
        <v>66340.639999999999</v>
      </c>
      <c r="P7" s="51">
        <v>348288.36</v>
      </c>
      <c r="Q7" s="51">
        <v>115315.64</v>
      </c>
      <c r="R7" s="51">
        <v>59.78</v>
      </c>
      <c r="S7" s="51">
        <v>102.41</v>
      </c>
      <c r="T7" s="51">
        <v>60.269999999999996</v>
      </c>
      <c r="U7" s="51">
        <v>60.750000000000007</v>
      </c>
      <c r="V7" s="51">
        <v>98.820000000000007</v>
      </c>
      <c r="W7" s="51">
        <v>41.4</v>
      </c>
      <c r="X7" s="51">
        <v>42.599999999999994</v>
      </c>
      <c r="Y7" s="51">
        <v>3.8</v>
      </c>
      <c r="Z7" s="51">
        <v>29.04</v>
      </c>
      <c r="AA7" s="51">
        <v>1.9</v>
      </c>
      <c r="AB7" s="51">
        <v>13.2</v>
      </c>
      <c r="AC7" s="51">
        <v>0.72</v>
      </c>
      <c r="AD7" s="51">
        <v>0.18</v>
      </c>
      <c r="AE7" s="51">
        <v>0.24</v>
      </c>
      <c r="AF7" s="51">
        <v>0.72</v>
      </c>
      <c r="AG7" s="51">
        <v>0.21</v>
      </c>
      <c r="AH7" s="51">
        <v>0.2</v>
      </c>
      <c r="AI7" s="51">
        <v>0.3</v>
      </c>
      <c r="AJ7" s="51">
        <v>0.23</v>
      </c>
    </row>
    <row r="8" spans="1:36" ht="25" customHeight="1" x14ac:dyDescent="0.2">
      <c r="A8" s="51">
        <v>134</v>
      </c>
      <c r="B8" s="51">
        <v>6583449.6000000006</v>
      </c>
      <c r="C8" s="51">
        <v>5776243.2000000002</v>
      </c>
      <c r="D8" s="51">
        <v>3030924</v>
      </c>
      <c r="E8" s="51">
        <v>2263875.12</v>
      </c>
      <c r="F8" s="51">
        <v>446131.20000000001</v>
      </c>
      <c r="G8" s="51">
        <v>759628.80000000005</v>
      </c>
      <c r="H8" s="51">
        <v>669131.19999999995</v>
      </c>
      <c r="I8" s="51">
        <v>507801.59999999998</v>
      </c>
      <c r="J8" s="51">
        <v>550118.40000000002</v>
      </c>
      <c r="K8" s="51">
        <v>765801.6</v>
      </c>
      <c r="L8" s="51">
        <v>172085.34</v>
      </c>
      <c r="M8" s="51">
        <v>383028.66000000003</v>
      </c>
      <c r="N8" s="51">
        <v>345690.33999999997</v>
      </c>
      <c r="O8" s="51">
        <v>161705.31</v>
      </c>
      <c r="P8" s="51">
        <v>252923.69</v>
      </c>
      <c r="Q8" s="51">
        <v>210680.31</v>
      </c>
      <c r="R8" s="51">
        <v>86.61999999999999</v>
      </c>
      <c r="S8" s="51">
        <v>148.38999999999999</v>
      </c>
      <c r="T8" s="51">
        <v>87.33</v>
      </c>
      <c r="U8" s="51">
        <v>74.25</v>
      </c>
      <c r="V8" s="51">
        <v>120.78</v>
      </c>
      <c r="W8" s="51">
        <v>39.6</v>
      </c>
      <c r="X8" s="51">
        <v>66.600000000000009</v>
      </c>
      <c r="Y8" s="51">
        <v>3.04</v>
      </c>
      <c r="Z8" s="51">
        <v>33.33</v>
      </c>
      <c r="AA8" s="51">
        <v>1.52</v>
      </c>
      <c r="AB8" s="51">
        <v>15.15</v>
      </c>
      <c r="AC8" s="51">
        <v>0.88</v>
      </c>
      <c r="AD8" s="51">
        <v>0.4</v>
      </c>
      <c r="AE8" s="51">
        <v>0.28999999999999998</v>
      </c>
      <c r="AF8" s="51">
        <v>0.63</v>
      </c>
      <c r="AG8" s="51">
        <v>0.4</v>
      </c>
      <c r="AH8" s="51">
        <v>0.36</v>
      </c>
      <c r="AI8" s="51">
        <v>0.15</v>
      </c>
      <c r="AJ8" s="51">
        <v>0.19</v>
      </c>
    </row>
    <row r="9" spans="1:36" ht="25" customHeight="1" x14ac:dyDescent="0.2">
      <c r="A9" s="51">
        <v>135</v>
      </c>
      <c r="B9" s="51">
        <v>5507308.7999999998</v>
      </c>
      <c r="C9" s="51">
        <v>4832049.5999999996</v>
      </c>
      <c r="D9" s="51">
        <v>2535484.5</v>
      </c>
      <c r="E9" s="51">
        <v>1893818.61</v>
      </c>
      <c r="F9" s="51">
        <v>301440</v>
      </c>
      <c r="G9" s="51">
        <v>904320</v>
      </c>
      <c r="H9" s="51">
        <v>524440</v>
      </c>
      <c r="I9" s="51">
        <v>95212.800000000003</v>
      </c>
      <c r="J9" s="51">
        <v>962707.2</v>
      </c>
      <c r="K9" s="51">
        <v>353212.8</v>
      </c>
      <c r="L9" s="51">
        <v>61062.54</v>
      </c>
      <c r="M9" s="51">
        <v>494051.46</v>
      </c>
      <c r="N9" s="51">
        <v>234667.54</v>
      </c>
      <c r="O9" s="51">
        <v>178290.47</v>
      </c>
      <c r="P9" s="51">
        <v>236338.53</v>
      </c>
      <c r="Q9" s="51">
        <v>227265.47</v>
      </c>
      <c r="R9" s="51">
        <v>62.22</v>
      </c>
      <c r="S9" s="51">
        <v>106.59</v>
      </c>
      <c r="T9" s="51">
        <v>62.730000000000004</v>
      </c>
      <c r="U9" s="51">
        <v>23.25</v>
      </c>
      <c r="V9" s="51">
        <v>37.82</v>
      </c>
      <c r="W9" s="51">
        <v>20.100000000000001</v>
      </c>
      <c r="X9" s="51">
        <v>49.199999999999996</v>
      </c>
      <c r="Y9" s="51">
        <v>4.72</v>
      </c>
      <c r="Z9" s="51">
        <v>25.080000000000002</v>
      </c>
      <c r="AA9" s="51">
        <v>2.36</v>
      </c>
      <c r="AB9" s="51">
        <v>11.4</v>
      </c>
      <c r="AC9" s="51">
        <v>0.61</v>
      </c>
      <c r="AD9" s="51">
        <v>0.18</v>
      </c>
      <c r="AE9" s="51">
        <v>0.14000000000000001</v>
      </c>
      <c r="AF9" s="51">
        <v>0.65</v>
      </c>
      <c r="AG9" s="51">
        <v>0.4</v>
      </c>
      <c r="AH9" s="51">
        <v>0.28999999999999998</v>
      </c>
      <c r="AI9" s="51">
        <v>0.2</v>
      </c>
      <c r="AJ9" s="51">
        <v>0.16</v>
      </c>
    </row>
    <row r="10" spans="1:36" ht="25" customHeight="1" x14ac:dyDescent="0.2">
      <c r="A10" s="51">
        <v>136</v>
      </c>
      <c r="B10" s="51">
        <v>4874284.8</v>
      </c>
      <c r="C10" s="51">
        <v>4276641.6000000006</v>
      </c>
      <c r="D10" s="51">
        <v>2244049.5</v>
      </c>
      <c r="E10" s="51">
        <v>1676138.31</v>
      </c>
      <c r="F10" s="51">
        <v>361728</v>
      </c>
      <c r="G10" s="51">
        <v>844032</v>
      </c>
      <c r="H10" s="51">
        <v>584728</v>
      </c>
      <c r="I10" s="51">
        <v>433747.19999999995</v>
      </c>
      <c r="J10" s="51">
        <v>624172.80000000005</v>
      </c>
      <c r="K10" s="51">
        <v>691747.2</v>
      </c>
      <c r="L10" s="51">
        <v>133227.35999999999</v>
      </c>
      <c r="M10" s="51">
        <v>421886.64</v>
      </c>
      <c r="N10" s="51">
        <v>306832.36</v>
      </c>
      <c r="O10" s="51">
        <v>199021.91999999998</v>
      </c>
      <c r="P10" s="51">
        <v>215607.08000000002</v>
      </c>
      <c r="Q10" s="51">
        <v>247996.91999999998</v>
      </c>
      <c r="R10" s="51">
        <v>79.3</v>
      </c>
      <c r="S10" s="51">
        <v>135.85</v>
      </c>
      <c r="T10" s="51">
        <v>79.95</v>
      </c>
      <c r="U10" s="51">
        <v>43.5</v>
      </c>
      <c r="V10" s="51">
        <v>70.759999999999991</v>
      </c>
      <c r="W10" s="51">
        <v>39.900000000000006</v>
      </c>
      <c r="X10" s="51">
        <v>75.599999999999994</v>
      </c>
      <c r="Y10" s="51">
        <v>3.52</v>
      </c>
      <c r="Z10" s="51">
        <v>40.589999999999996</v>
      </c>
      <c r="AA10" s="51">
        <v>1.76</v>
      </c>
      <c r="AB10" s="51">
        <v>18.45</v>
      </c>
      <c r="AC10" s="51">
        <v>0.88</v>
      </c>
      <c r="AD10" s="51">
        <v>0.39</v>
      </c>
      <c r="AE10" s="51">
        <v>0.32</v>
      </c>
      <c r="AF10" s="51">
        <v>0.81</v>
      </c>
      <c r="AG10" s="51">
        <v>0.13</v>
      </c>
      <c r="AH10" s="51">
        <v>0.1</v>
      </c>
      <c r="AI10" s="51">
        <v>0.12</v>
      </c>
      <c r="AJ10" s="51">
        <v>0.19</v>
      </c>
    </row>
    <row r="11" spans="1:36" ht="25" customHeight="1" x14ac:dyDescent="0.2">
      <c r="A11" s="51">
        <v>137</v>
      </c>
      <c r="B11" s="51">
        <v>6899961.6000000006</v>
      </c>
      <c r="C11" s="51">
        <v>6053947.2000000002</v>
      </c>
      <c r="D11" s="51">
        <v>3176641.5000000005</v>
      </c>
      <c r="E11" s="51">
        <v>2372715.27</v>
      </c>
      <c r="F11" s="51">
        <v>144691.19999999998</v>
      </c>
      <c r="G11" s="51">
        <v>1061068.8</v>
      </c>
      <c r="H11" s="51">
        <v>367691.19999999995</v>
      </c>
      <c r="I11" s="51">
        <v>52896</v>
      </c>
      <c r="J11" s="51">
        <v>1005024</v>
      </c>
      <c r="K11" s="51">
        <v>310896</v>
      </c>
      <c r="L11" s="51">
        <v>155431.92000000001</v>
      </c>
      <c r="M11" s="51">
        <v>399682.07999999996</v>
      </c>
      <c r="N11" s="51">
        <v>329036.92000000004</v>
      </c>
      <c r="O11" s="51">
        <v>49755.479999999996</v>
      </c>
      <c r="P11" s="51">
        <v>364873.52</v>
      </c>
      <c r="Q11" s="51">
        <v>98730.48</v>
      </c>
      <c r="R11" s="51">
        <v>93.94</v>
      </c>
      <c r="S11" s="51">
        <v>160.93</v>
      </c>
      <c r="T11" s="51">
        <v>94.710000000000008</v>
      </c>
      <c r="U11" s="51">
        <v>48</v>
      </c>
      <c r="V11" s="51">
        <v>78.08</v>
      </c>
      <c r="W11" s="51">
        <v>18.3</v>
      </c>
      <c r="X11" s="51">
        <v>51</v>
      </c>
      <c r="Y11" s="51">
        <v>4.8</v>
      </c>
      <c r="Z11" s="51">
        <v>27.72</v>
      </c>
      <c r="AA11" s="51">
        <v>2.4</v>
      </c>
      <c r="AB11" s="51">
        <v>12.6</v>
      </c>
      <c r="AC11" s="51">
        <v>0.6</v>
      </c>
      <c r="AD11" s="51">
        <v>0.19</v>
      </c>
      <c r="AE11" s="51">
        <v>0.16</v>
      </c>
      <c r="AF11" s="51">
        <v>0.75</v>
      </c>
      <c r="AG11" s="51">
        <v>0.13</v>
      </c>
      <c r="AH11" s="51">
        <v>0.15</v>
      </c>
      <c r="AI11" s="51">
        <v>0.16</v>
      </c>
      <c r="AJ11" s="51">
        <v>0.17</v>
      </c>
    </row>
    <row r="12" spans="1:36" ht="25" customHeight="1" x14ac:dyDescent="0.2">
      <c r="A12" s="51">
        <v>138</v>
      </c>
      <c r="B12" s="51">
        <v>7849497.5999999996</v>
      </c>
      <c r="C12" s="51">
        <v>6887059.2000000002</v>
      </c>
      <c r="D12" s="51">
        <v>3613794</v>
      </c>
      <c r="E12" s="51">
        <v>2699235.72</v>
      </c>
      <c r="F12" s="51">
        <v>313497.60000000003</v>
      </c>
      <c r="G12" s="51">
        <v>892262.39999999991</v>
      </c>
      <c r="H12" s="51">
        <v>536497.60000000009</v>
      </c>
      <c r="I12" s="51">
        <v>63475.199999999997</v>
      </c>
      <c r="J12" s="51">
        <v>994444.80000000005</v>
      </c>
      <c r="K12" s="51">
        <v>321475.20000000001</v>
      </c>
      <c r="L12" s="51">
        <v>77715.960000000006</v>
      </c>
      <c r="M12" s="51">
        <v>477398.04</v>
      </c>
      <c r="N12" s="51">
        <v>251320.96000000002</v>
      </c>
      <c r="O12" s="51">
        <v>33170.32</v>
      </c>
      <c r="P12" s="51">
        <v>381458.68</v>
      </c>
      <c r="Q12" s="51">
        <v>82145.320000000007</v>
      </c>
      <c r="R12" s="51">
        <v>75.64</v>
      </c>
      <c r="S12" s="51">
        <v>129.58000000000001</v>
      </c>
      <c r="T12" s="51">
        <v>76.260000000000005</v>
      </c>
      <c r="U12" s="51">
        <v>29.25</v>
      </c>
      <c r="V12" s="51">
        <v>47.58</v>
      </c>
      <c r="W12" s="51">
        <v>29.4</v>
      </c>
      <c r="X12" s="51">
        <v>44.4</v>
      </c>
      <c r="Y12" s="51">
        <v>4.3600000000000003</v>
      </c>
      <c r="Z12" s="51">
        <v>34.980000000000004</v>
      </c>
      <c r="AA12" s="51">
        <v>2.1800000000000002</v>
      </c>
      <c r="AB12" s="51">
        <v>15.9</v>
      </c>
      <c r="AC12" s="51">
        <v>0.73</v>
      </c>
      <c r="AD12" s="51">
        <v>0.32</v>
      </c>
      <c r="AE12" s="51">
        <v>0.36</v>
      </c>
      <c r="AF12" s="51">
        <v>0.82</v>
      </c>
      <c r="AG12" s="51">
        <v>0.18</v>
      </c>
      <c r="AH12" s="51">
        <v>0.28000000000000003</v>
      </c>
      <c r="AI12" s="51">
        <v>0.15</v>
      </c>
      <c r="AJ12" s="51">
        <v>0.28999999999999998</v>
      </c>
    </row>
    <row r="13" spans="1:36" ht="25" customHeight="1" x14ac:dyDescent="0.2">
      <c r="A13" s="51">
        <v>139</v>
      </c>
      <c r="B13" s="51">
        <v>5064192</v>
      </c>
      <c r="C13" s="51">
        <v>4443264</v>
      </c>
      <c r="D13" s="51">
        <v>2331480</v>
      </c>
      <c r="E13" s="51">
        <v>1741442.4000000001</v>
      </c>
      <c r="F13" s="51">
        <v>229094.39999999999</v>
      </c>
      <c r="G13" s="51">
        <v>976665.59999999998</v>
      </c>
      <c r="H13" s="51">
        <v>452094.4</v>
      </c>
      <c r="I13" s="51">
        <v>402009.59999999998</v>
      </c>
      <c r="J13" s="51">
        <v>655910.40000000002</v>
      </c>
      <c r="K13" s="51">
        <v>660009.6</v>
      </c>
      <c r="L13" s="51">
        <v>105471.66</v>
      </c>
      <c r="M13" s="51">
        <v>449642.33999999997</v>
      </c>
      <c r="N13" s="51">
        <v>279076.66000000003</v>
      </c>
      <c r="O13" s="51">
        <v>132681.28</v>
      </c>
      <c r="P13" s="51">
        <v>281947.71999999997</v>
      </c>
      <c r="Q13" s="51">
        <v>181656.28</v>
      </c>
      <c r="R13" s="51">
        <v>111.02000000000001</v>
      </c>
      <c r="S13" s="51">
        <v>190.19</v>
      </c>
      <c r="T13" s="51">
        <v>111.93</v>
      </c>
      <c r="U13" s="51">
        <v>54</v>
      </c>
      <c r="V13" s="51">
        <v>87.84</v>
      </c>
      <c r="W13" s="51">
        <v>26.1</v>
      </c>
      <c r="X13" s="51">
        <v>80.400000000000006</v>
      </c>
      <c r="Y13" s="51">
        <v>3.32</v>
      </c>
      <c r="Z13" s="51">
        <v>30.360000000000003</v>
      </c>
      <c r="AA13" s="51">
        <v>1.66</v>
      </c>
      <c r="AB13" s="51">
        <v>13.8</v>
      </c>
      <c r="AC13" s="51">
        <v>0.76</v>
      </c>
      <c r="AD13" s="51">
        <v>0.16</v>
      </c>
      <c r="AE13" s="51">
        <v>0.14000000000000001</v>
      </c>
      <c r="AF13" s="51">
        <v>0.75</v>
      </c>
      <c r="AG13" s="51">
        <v>0.14000000000000001</v>
      </c>
      <c r="AH13" s="51">
        <v>0.31</v>
      </c>
      <c r="AI13" s="51">
        <v>0.12</v>
      </c>
      <c r="AJ13" s="51">
        <v>0.28000000000000003</v>
      </c>
    </row>
    <row r="14" spans="1:36" ht="25" customHeight="1" x14ac:dyDescent="0.2">
      <c r="A14" s="51">
        <v>140</v>
      </c>
      <c r="B14" s="51">
        <v>5507308.7999999998</v>
      </c>
      <c r="C14" s="51">
        <v>4832049.5999999996</v>
      </c>
      <c r="D14" s="51">
        <v>2535484.5</v>
      </c>
      <c r="E14" s="51">
        <v>1893818.61</v>
      </c>
      <c r="F14" s="51">
        <v>434073.59999999998</v>
      </c>
      <c r="G14" s="51">
        <v>771686.40000000002</v>
      </c>
      <c r="H14" s="51">
        <v>657073.6</v>
      </c>
      <c r="I14" s="51">
        <v>476064</v>
      </c>
      <c r="J14" s="51">
        <v>581856</v>
      </c>
      <c r="K14" s="51">
        <v>734064</v>
      </c>
      <c r="L14" s="51">
        <v>22204.560000000001</v>
      </c>
      <c r="M14" s="51">
        <v>532909.43999999994</v>
      </c>
      <c r="N14" s="51">
        <v>195809.56</v>
      </c>
      <c r="O14" s="51">
        <v>169997.88999999998</v>
      </c>
      <c r="P14" s="51">
        <v>244631.11000000002</v>
      </c>
      <c r="Q14" s="51">
        <v>218972.88999999998</v>
      </c>
      <c r="R14" s="51">
        <v>120.78</v>
      </c>
      <c r="S14" s="51">
        <v>206.91</v>
      </c>
      <c r="T14" s="51">
        <v>121.77</v>
      </c>
      <c r="U14" s="51">
        <v>63.75</v>
      </c>
      <c r="V14" s="51">
        <v>103.7</v>
      </c>
      <c r="W14" s="51">
        <v>27.6</v>
      </c>
      <c r="X14" s="51">
        <v>60.6</v>
      </c>
      <c r="Y14" s="51">
        <v>3.56</v>
      </c>
      <c r="Z14" s="51">
        <v>37.949999999999996</v>
      </c>
      <c r="AA14" s="51">
        <v>1.78</v>
      </c>
      <c r="AB14" s="51">
        <v>17.25</v>
      </c>
      <c r="AC14" s="51">
        <v>0.67</v>
      </c>
      <c r="AD14" s="51">
        <v>0.28999999999999998</v>
      </c>
      <c r="AE14" s="51">
        <v>0.35</v>
      </c>
      <c r="AF14" s="51">
        <v>0.65</v>
      </c>
      <c r="AG14" s="51">
        <v>0.26</v>
      </c>
      <c r="AH14" s="51">
        <v>0.18</v>
      </c>
      <c r="AI14" s="51">
        <v>0.15</v>
      </c>
      <c r="AJ14" s="51">
        <v>0.25</v>
      </c>
    </row>
    <row r="15" spans="1:36" ht="25" customHeight="1" x14ac:dyDescent="0.2">
      <c r="A15" s="51">
        <v>141</v>
      </c>
      <c r="B15" s="51">
        <v>6836659.2000000002</v>
      </c>
      <c r="C15" s="51">
        <v>5998406.4000000004</v>
      </c>
      <c r="D15" s="51">
        <v>3147498</v>
      </c>
      <c r="E15" s="51">
        <v>2350947.2400000002</v>
      </c>
      <c r="F15" s="51">
        <v>566707.19999999995</v>
      </c>
      <c r="G15" s="51">
        <v>639052.80000000005</v>
      </c>
      <c r="H15" s="51">
        <v>789707.2</v>
      </c>
      <c r="I15" s="51">
        <v>148108.80000000002</v>
      </c>
      <c r="J15" s="51">
        <v>909811.19999999995</v>
      </c>
      <c r="K15" s="51">
        <v>406108.80000000005</v>
      </c>
      <c r="L15" s="51">
        <v>199841.03999999998</v>
      </c>
      <c r="M15" s="51">
        <v>355272.96000000002</v>
      </c>
      <c r="N15" s="51">
        <v>373446.04</v>
      </c>
      <c r="O15" s="51">
        <v>20731.45</v>
      </c>
      <c r="P15" s="51">
        <v>393897.55</v>
      </c>
      <c r="Q15" s="51">
        <v>69706.45</v>
      </c>
      <c r="R15" s="51">
        <v>78.08</v>
      </c>
      <c r="S15" s="51">
        <v>133.76</v>
      </c>
      <c r="T15" s="51">
        <v>78.72</v>
      </c>
      <c r="U15" s="51">
        <v>30.749999999999996</v>
      </c>
      <c r="V15" s="51">
        <v>50.019999999999996</v>
      </c>
      <c r="W15" s="51">
        <v>37.5</v>
      </c>
      <c r="X15" s="51">
        <v>42</v>
      </c>
      <c r="Y15" s="51">
        <v>3.76</v>
      </c>
      <c r="Z15" s="51">
        <v>25.740000000000002</v>
      </c>
      <c r="AA15" s="51">
        <v>1.88</v>
      </c>
      <c r="AB15" s="51">
        <v>11.700000000000001</v>
      </c>
      <c r="AC15" s="51">
        <v>0.87</v>
      </c>
      <c r="AD15" s="51">
        <v>0.18</v>
      </c>
      <c r="AE15" s="51">
        <v>0.19</v>
      </c>
      <c r="AF15" s="51">
        <v>0.67</v>
      </c>
      <c r="AG15" s="51">
        <v>0.3</v>
      </c>
      <c r="AH15" s="51">
        <v>0.18</v>
      </c>
      <c r="AI15" s="51">
        <v>0.19</v>
      </c>
      <c r="AJ15" s="51">
        <v>0.27</v>
      </c>
    </row>
    <row r="16" spans="1:36" ht="25" customHeight="1" x14ac:dyDescent="0.2">
      <c r="A16" s="51">
        <v>142</v>
      </c>
      <c r="B16" s="51">
        <v>7216473.5999999996</v>
      </c>
      <c r="C16" s="51">
        <v>6331651.1999999993</v>
      </c>
      <c r="D16" s="51">
        <v>3322358.9999999995</v>
      </c>
      <c r="E16" s="51">
        <v>2481555.42</v>
      </c>
      <c r="F16" s="51">
        <v>132633.60000000001</v>
      </c>
      <c r="G16" s="51">
        <v>1073126.3999999999</v>
      </c>
      <c r="H16" s="51">
        <v>355633.6</v>
      </c>
      <c r="I16" s="51">
        <v>31737.599999999999</v>
      </c>
      <c r="J16" s="51">
        <v>1026182.4</v>
      </c>
      <c r="K16" s="51">
        <v>289737.59999999998</v>
      </c>
      <c r="L16" s="51">
        <v>266454.71999999997</v>
      </c>
      <c r="M16" s="51">
        <v>288659.28000000003</v>
      </c>
      <c r="N16" s="51">
        <v>440059.72</v>
      </c>
      <c r="O16" s="51">
        <v>0</v>
      </c>
      <c r="P16" s="51">
        <v>414629</v>
      </c>
      <c r="Q16" s="51">
        <v>48975</v>
      </c>
      <c r="R16" s="51">
        <v>67.100000000000009</v>
      </c>
      <c r="S16" s="51">
        <v>114.95</v>
      </c>
      <c r="T16" s="51">
        <v>67.650000000000006</v>
      </c>
      <c r="U16" s="51">
        <v>36</v>
      </c>
      <c r="V16" s="51">
        <v>58.559999999999995</v>
      </c>
      <c r="W16" s="51">
        <v>29.099999999999998</v>
      </c>
      <c r="X16" s="51">
        <v>39.6</v>
      </c>
      <c r="Y16" s="51">
        <v>3.08</v>
      </c>
      <c r="Z16" s="51">
        <v>38.61</v>
      </c>
      <c r="AA16" s="51">
        <v>1.54</v>
      </c>
      <c r="AB16" s="51">
        <v>17.549999999999997</v>
      </c>
      <c r="AC16" s="51">
        <v>0.71</v>
      </c>
      <c r="AD16" s="51">
        <v>0.3</v>
      </c>
      <c r="AE16" s="51">
        <v>0.37</v>
      </c>
      <c r="AF16" s="51">
        <v>0.6</v>
      </c>
      <c r="AG16" s="51">
        <v>0.16</v>
      </c>
      <c r="AH16" s="51">
        <v>0.37</v>
      </c>
      <c r="AI16" s="51">
        <v>0.25</v>
      </c>
      <c r="AJ16" s="51">
        <v>0.16</v>
      </c>
    </row>
    <row r="17" spans="1:36" ht="25" customHeight="1" x14ac:dyDescent="0.2">
      <c r="A17" s="51">
        <v>143</v>
      </c>
      <c r="B17" s="51">
        <v>5823820.7999999998</v>
      </c>
      <c r="C17" s="51">
        <v>5109753.6000000006</v>
      </c>
      <c r="D17" s="51">
        <v>2681202</v>
      </c>
      <c r="E17" s="51">
        <v>2002658.76</v>
      </c>
      <c r="F17" s="51">
        <v>361728</v>
      </c>
      <c r="G17" s="51">
        <v>844032</v>
      </c>
      <c r="H17" s="51">
        <v>584728</v>
      </c>
      <c r="I17" s="51">
        <v>190425.60000000001</v>
      </c>
      <c r="J17" s="51">
        <v>867494.40000000002</v>
      </c>
      <c r="K17" s="51">
        <v>448425.6</v>
      </c>
      <c r="L17" s="51">
        <v>188738.76</v>
      </c>
      <c r="M17" s="51">
        <v>366375.24</v>
      </c>
      <c r="N17" s="51">
        <v>362343.76</v>
      </c>
      <c r="O17" s="51">
        <v>153412.73000000001</v>
      </c>
      <c r="P17" s="51">
        <v>261216.27</v>
      </c>
      <c r="Q17" s="51">
        <v>202387.73</v>
      </c>
      <c r="R17" s="51">
        <v>52.46</v>
      </c>
      <c r="S17" s="51">
        <v>89.87</v>
      </c>
      <c r="T17" s="51">
        <v>52.89</v>
      </c>
      <c r="U17" s="51">
        <v>68.25</v>
      </c>
      <c r="V17" s="51">
        <v>111.02000000000001</v>
      </c>
      <c r="W17" s="51">
        <v>30.3</v>
      </c>
      <c r="X17" s="51">
        <v>57</v>
      </c>
      <c r="Y17" s="51">
        <v>4.16</v>
      </c>
      <c r="Z17" s="51">
        <v>39.269999999999996</v>
      </c>
      <c r="AA17" s="51">
        <v>2.08</v>
      </c>
      <c r="AB17" s="51">
        <v>17.849999999999998</v>
      </c>
      <c r="AC17" s="51">
        <v>0.76</v>
      </c>
      <c r="AD17" s="51">
        <v>0.16</v>
      </c>
      <c r="AE17" s="51">
        <v>0.22</v>
      </c>
      <c r="AF17" s="51">
        <v>0.6</v>
      </c>
      <c r="AG17" s="51">
        <v>0.2</v>
      </c>
      <c r="AH17" s="51">
        <v>0.35</v>
      </c>
      <c r="AI17" s="51">
        <v>0.28999999999999998</v>
      </c>
      <c r="AJ17" s="51">
        <v>0.17</v>
      </c>
    </row>
    <row r="18" spans="1:36" ht="25" customHeight="1" x14ac:dyDescent="0.2">
      <c r="A18" s="51">
        <v>144</v>
      </c>
      <c r="B18" s="51">
        <v>5950425.5999999996</v>
      </c>
      <c r="C18" s="51">
        <v>5220835.1999999993</v>
      </c>
      <c r="D18" s="51">
        <v>2739489</v>
      </c>
      <c r="E18" s="51">
        <v>2046194.8199999998</v>
      </c>
      <c r="F18" s="51">
        <v>36172.799999999996</v>
      </c>
      <c r="G18" s="51">
        <v>1169587.2</v>
      </c>
      <c r="H18" s="51">
        <v>259172.8</v>
      </c>
      <c r="I18" s="51">
        <v>264480</v>
      </c>
      <c r="J18" s="51">
        <v>793440</v>
      </c>
      <c r="K18" s="51">
        <v>522480</v>
      </c>
      <c r="L18" s="51">
        <v>233147.88</v>
      </c>
      <c r="M18" s="51">
        <v>321966.12</v>
      </c>
      <c r="N18" s="51">
        <v>406752.88</v>
      </c>
      <c r="O18" s="51">
        <v>107803.54000000001</v>
      </c>
      <c r="P18" s="51">
        <v>306825.45999999996</v>
      </c>
      <c r="Q18" s="51">
        <v>156778.54</v>
      </c>
      <c r="R18" s="51">
        <v>117.11999999999999</v>
      </c>
      <c r="S18" s="51">
        <v>200.64</v>
      </c>
      <c r="T18" s="51">
        <v>118.08</v>
      </c>
      <c r="U18" s="51">
        <v>21.75</v>
      </c>
      <c r="V18" s="51">
        <v>35.379999999999995</v>
      </c>
      <c r="W18" s="51">
        <v>36.299999999999997</v>
      </c>
      <c r="X18" s="51">
        <v>70.8</v>
      </c>
      <c r="Y18" s="51">
        <v>4.04</v>
      </c>
      <c r="Z18" s="51">
        <v>33.660000000000004</v>
      </c>
      <c r="AA18" s="51">
        <v>2.02</v>
      </c>
      <c r="AB18" s="51">
        <v>15.3</v>
      </c>
      <c r="AC18" s="51">
        <v>0.64</v>
      </c>
      <c r="AD18" s="51">
        <v>0.4</v>
      </c>
      <c r="AE18" s="51">
        <v>0.34</v>
      </c>
      <c r="AF18" s="51">
        <v>0.85</v>
      </c>
      <c r="AG18" s="51">
        <v>0.33</v>
      </c>
      <c r="AH18" s="51">
        <v>0.17</v>
      </c>
      <c r="AI18" s="51">
        <v>0.2</v>
      </c>
      <c r="AJ18" s="51">
        <v>0.16</v>
      </c>
    </row>
    <row r="19" spans="1:36" ht="25" customHeight="1" x14ac:dyDescent="0.2">
      <c r="A19" s="51">
        <v>145</v>
      </c>
      <c r="B19" s="51">
        <v>6456844.7999999998</v>
      </c>
      <c r="C19" s="51">
        <v>5665161.6000000006</v>
      </c>
      <c r="D19" s="51">
        <v>2972637</v>
      </c>
      <c r="E19" s="51">
        <v>2220339.06</v>
      </c>
      <c r="F19" s="51">
        <v>96460.800000000003</v>
      </c>
      <c r="G19" s="51">
        <v>1109299.2</v>
      </c>
      <c r="H19" s="51">
        <v>319460.8</v>
      </c>
      <c r="I19" s="51">
        <v>0</v>
      </c>
      <c r="J19" s="51">
        <v>1057920</v>
      </c>
      <c r="K19" s="51">
        <v>258000</v>
      </c>
      <c r="L19" s="51">
        <v>94369.38</v>
      </c>
      <c r="M19" s="51">
        <v>460744.62</v>
      </c>
      <c r="N19" s="51">
        <v>267974.38</v>
      </c>
      <c r="O19" s="51">
        <v>37316.61</v>
      </c>
      <c r="P19" s="51">
        <v>377312.39</v>
      </c>
      <c r="Q19" s="51">
        <v>86291.61</v>
      </c>
      <c r="R19" s="51">
        <v>69.539999999999992</v>
      </c>
      <c r="S19" s="51">
        <v>119.13</v>
      </c>
      <c r="T19" s="51">
        <v>70.11</v>
      </c>
      <c r="U19" s="51">
        <v>55.5</v>
      </c>
      <c r="V19" s="51">
        <v>90.28</v>
      </c>
      <c r="W19" s="51">
        <v>36</v>
      </c>
      <c r="X19" s="51">
        <v>48</v>
      </c>
      <c r="Y19" s="51">
        <v>3.88</v>
      </c>
      <c r="Z19" s="51">
        <v>39.93</v>
      </c>
      <c r="AA19" s="51">
        <v>1.94</v>
      </c>
      <c r="AB19" s="51">
        <v>18.149999999999999</v>
      </c>
      <c r="AC19" s="51">
        <v>0.82</v>
      </c>
      <c r="AD19" s="51">
        <v>0.17</v>
      </c>
      <c r="AE19" s="51">
        <v>0.23</v>
      </c>
      <c r="AF19" s="51">
        <v>0.89</v>
      </c>
      <c r="AG19" s="51">
        <v>0.28999999999999998</v>
      </c>
      <c r="AH19" s="51">
        <v>0.2</v>
      </c>
      <c r="AI19" s="51">
        <v>0.22</v>
      </c>
      <c r="AJ19" s="51">
        <v>0.15</v>
      </c>
    </row>
    <row r="20" spans="1:36" ht="25" customHeight="1" x14ac:dyDescent="0.2">
      <c r="A20" s="51">
        <v>146</v>
      </c>
      <c r="B20" s="51">
        <v>6963264.0000000009</v>
      </c>
      <c r="C20" s="51">
        <v>6109488.0000000009</v>
      </c>
      <c r="D20" s="51">
        <v>3205785.0000000005</v>
      </c>
      <c r="E20" s="51">
        <v>2394483.3000000003</v>
      </c>
      <c r="F20" s="51">
        <v>84403.200000000012</v>
      </c>
      <c r="G20" s="51">
        <v>1121356.8</v>
      </c>
      <c r="H20" s="51">
        <v>307403.2</v>
      </c>
      <c r="I20" s="51">
        <v>232742.39999999999</v>
      </c>
      <c r="J20" s="51">
        <v>825177.59999999998</v>
      </c>
      <c r="K20" s="51">
        <v>490742.4</v>
      </c>
      <c r="L20" s="51">
        <v>244250.16</v>
      </c>
      <c r="M20" s="51">
        <v>310863.83999999997</v>
      </c>
      <c r="N20" s="51">
        <v>417855.16000000003</v>
      </c>
      <c r="O20" s="51">
        <v>140973.86000000002</v>
      </c>
      <c r="P20" s="51">
        <v>273655.14</v>
      </c>
      <c r="Q20" s="51">
        <v>189948.86000000002</v>
      </c>
      <c r="R20" s="51">
        <v>50.019999999999996</v>
      </c>
      <c r="S20" s="51">
        <v>85.69</v>
      </c>
      <c r="T20" s="51">
        <v>50.43</v>
      </c>
      <c r="U20" s="51">
        <v>60</v>
      </c>
      <c r="V20" s="51">
        <v>97.600000000000009</v>
      </c>
      <c r="W20" s="51">
        <v>24.3</v>
      </c>
      <c r="X20" s="51">
        <v>58.8</v>
      </c>
      <c r="Y20" s="51">
        <v>3.68</v>
      </c>
      <c r="Z20" s="51">
        <v>35.970000000000006</v>
      </c>
      <c r="AA20" s="51">
        <v>1.84</v>
      </c>
      <c r="AB20" s="51">
        <v>16.350000000000001</v>
      </c>
      <c r="AC20" s="51">
        <v>0.75</v>
      </c>
      <c r="AD20" s="51">
        <v>0.16</v>
      </c>
      <c r="AE20" s="51">
        <v>0.28000000000000003</v>
      </c>
      <c r="AF20" s="51">
        <v>0.79</v>
      </c>
      <c r="AG20" s="51">
        <v>0.28000000000000003</v>
      </c>
      <c r="AH20" s="51">
        <v>0.16</v>
      </c>
      <c r="AI20" s="51">
        <v>0.3</v>
      </c>
      <c r="AJ20" s="51">
        <v>0.11</v>
      </c>
    </row>
    <row r="21" spans="1:36" ht="25" customHeight="1" x14ac:dyDescent="0.2">
      <c r="A21" s="51">
        <v>147</v>
      </c>
      <c r="B21" s="51">
        <v>6646752</v>
      </c>
      <c r="C21" s="51">
        <v>5831784</v>
      </c>
      <c r="D21" s="51">
        <v>3060067.5</v>
      </c>
      <c r="E21" s="51">
        <v>2285643.15</v>
      </c>
      <c r="F21" s="51">
        <v>554649.59999999998</v>
      </c>
      <c r="G21" s="51">
        <v>651110.40000000002</v>
      </c>
      <c r="H21" s="51">
        <v>777649.6</v>
      </c>
      <c r="I21" s="51">
        <v>359692.80000000005</v>
      </c>
      <c r="J21" s="51">
        <v>698227.19999999995</v>
      </c>
      <c r="K21" s="51">
        <v>617692.80000000005</v>
      </c>
      <c r="L21" s="51">
        <v>272005.86</v>
      </c>
      <c r="M21" s="51">
        <v>283108.14</v>
      </c>
      <c r="N21" s="51">
        <v>445610.86</v>
      </c>
      <c r="O21" s="51">
        <v>182436.76</v>
      </c>
      <c r="P21" s="51">
        <v>232192.24</v>
      </c>
      <c r="Q21" s="51">
        <v>231411.76</v>
      </c>
      <c r="R21" s="51">
        <v>89.06</v>
      </c>
      <c r="S21" s="51">
        <v>152.57</v>
      </c>
      <c r="T21" s="51">
        <v>89.789999999999992</v>
      </c>
      <c r="U21" s="51">
        <v>56.25</v>
      </c>
      <c r="V21" s="51">
        <v>91.5</v>
      </c>
      <c r="W21" s="51">
        <v>38.1</v>
      </c>
      <c r="X21" s="51">
        <v>37.200000000000003</v>
      </c>
      <c r="Y21" s="51">
        <v>4.68</v>
      </c>
      <c r="Z21" s="51">
        <v>31.349999999999998</v>
      </c>
      <c r="AA21" s="51">
        <v>2.34</v>
      </c>
      <c r="AB21" s="51">
        <v>14.25</v>
      </c>
      <c r="AC21" s="51">
        <v>0.74</v>
      </c>
      <c r="AD21" s="51">
        <v>0.32</v>
      </c>
      <c r="AE21" s="51">
        <v>0.11</v>
      </c>
      <c r="AF21" s="51">
        <v>0.78</v>
      </c>
      <c r="AG21" s="51">
        <v>0.32</v>
      </c>
      <c r="AH21" s="51">
        <v>0.23</v>
      </c>
      <c r="AI21" s="51">
        <v>0.22</v>
      </c>
      <c r="AJ21" s="51">
        <v>0.12</v>
      </c>
    </row>
    <row r="22" spans="1:36" ht="25" customHeight="1" x14ac:dyDescent="0.2">
      <c r="A22" s="51">
        <v>148</v>
      </c>
      <c r="B22" s="51">
        <v>7596288</v>
      </c>
      <c r="C22" s="51">
        <v>6664896</v>
      </c>
      <c r="D22" s="51">
        <v>3497220</v>
      </c>
      <c r="E22" s="51">
        <v>2612163.6</v>
      </c>
      <c r="F22" s="51">
        <v>180864</v>
      </c>
      <c r="G22" s="51">
        <v>1024896</v>
      </c>
      <c r="H22" s="51">
        <v>403864</v>
      </c>
      <c r="I22" s="51">
        <v>116371.2</v>
      </c>
      <c r="J22" s="51">
        <v>941548.8</v>
      </c>
      <c r="K22" s="51">
        <v>374371.2</v>
      </c>
      <c r="L22" s="51">
        <v>44409.120000000003</v>
      </c>
      <c r="M22" s="51">
        <v>510704.88</v>
      </c>
      <c r="N22" s="51">
        <v>218014.12</v>
      </c>
      <c r="O22" s="51">
        <v>124388.7</v>
      </c>
      <c r="P22" s="51">
        <v>290240.3</v>
      </c>
      <c r="Q22" s="51">
        <v>173363.7</v>
      </c>
      <c r="R22" s="51">
        <v>71.97999999999999</v>
      </c>
      <c r="S22" s="51">
        <v>123.30999999999999</v>
      </c>
      <c r="T22" s="51">
        <v>72.569999999999993</v>
      </c>
      <c r="U22" s="51">
        <v>49.5</v>
      </c>
      <c r="V22" s="51">
        <v>80.52000000000001</v>
      </c>
      <c r="W22" s="51">
        <v>30.900000000000002</v>
      </c>
      <c r="X22" s="51">
        <v>77.400000000000006</v>
      </c>
      <c r="Y22" s="51">
        <v>3.64</v>
      </c>
      <c r="Z22" s="51">
        <v>31.349999999999998</v>
      </c>
      <c r="AA22" s="51">
        <v>1.82</v>
      </c>
      <c r="AB22" s="51">
        <v>14.25</v>
      </c>
      <c r="AC22" s="51">
        <v>0.76</v>
      </c>
      <c r="AD22" s="51">
        <v>0.17</v>
      </c>
      <c r="AE22" s="51">
        <v>0.38</v>
      </c>
      <c r="AF22" s="51">
        <v>0.69</v>
      </c>
      <c r="AG22" s="51">
        <v>0.25</v>
      </c>
      <c r="AH22" s="51">
        <v>0.31</v>
      </c>
      <c r="AI22" s="51">
        <v>0.28999999999999998</v>
      </c>
      <c r="AJ22" s="51">
        <v>0.11</v>
      </c>
    </row>
    <row r="23" spans="1:36" ht="25" customHeight="1" x14ac:dyDescent="0.2">
      <c r="A23" s="51">
        <v>149</v>
      </c>
      <c r="B23" s="51">
        <v>7469683.1999999993</v>
      </c>
      <c r="C23" s="51">
        <v>6553814.3999999994</v>
      </c>
      <c r="D23" s="51">
        <v>3438933</v>
      </c>
      <c r="E23" s="51">
        <v>2568627.54</v>
      </c>
      <c r="F23" s="51">
        <v>241152</v>
      </c>
      <c r="G23" s="51">
        <v>964608</v>
      </c>
      <c r="H23" s="51">
        <v>464152</v>
      </c>
      <c r="I23" s="51">
        <v>253900.79999999999</v>
      </c>
      <c r="J23" s="51">
        <v>804019.19999999995</v>
      </c>
      <c r="K23" s="51">
        <v>511900.8</v>
      </c>
      <c r="L23" s="51">
        <v>183187.62</v>
      </c>
      <c r="M23" s="51">
        <v>371926.38</v>
      </c>
      <c r="N23" s="51">
        <v>356792.62</v>
      </c>
      <c r="O23" s="51">
        <v>45609.19</v>
      </c>
      <c r="P23" s="51">
        <v>369019.81</v>
      </c>
      <c r="Q23" s="51">
        <v>94584.19</v>
      </c>
      <c r="R23" s="51">
        <v>98.820000000000007</v>
      </c>
      <c r="S23" s="51">
        <v>169.29000000000002</v>
      </c>
      <c r="T23" s="51">
        <v>99.63000000000001</v>
      </c>
      <c r="U23" s="51">
        <v>51.749999999999993</v>
      </c>
      <c r="V23" s="51">
        <v>84.179999999999993</v>
      </c>
      <c r="W23" s="51">
        <v>22.5</v>
      </c>
      <c r="X23" s="51">
        <v>79.2</v>
      </c>
      <c r="Y23" s="51">
        <v>4.92</v>
      </c>
      <c r="Z23" s="51">
        <v>36.96</v>
      </c>
      <c r="AA23" s="51">
        <v>2.46</v>
      </c>
      <c r="AB23" s="51">
        <v>16.8</v>
      </c>
      <c r="AC23" s="51">
        <v>0.65</v>
      </c>
      <c r="AD23" s="51">
        <v>0.26</v>
      </c>
      <c r="AE23" s="51">
        <v>0.17</v>
      </c>
      <c r="AF23" s="51">
        <v>0.62</v>
      </c>
      <c r="AG23" s="51">
        <v>0.24</v>
      </c>
      <c r="AH23" s="51">
        <v>0.3</v>
      </c>
      <c r="AI23" s="51">
        <v>0.22</v>
      </c>
      <c r="AJ23" s="51">
        <v>0.1</v>
      </c>
    </row>
    <row r="24" spans="1:36" ht="25" customHeight="1" x14ac:dyDescent="0.2">
      <c r="A24" s="51">
        <v>150</v>
      </c>
      <c r="B24" s="51">
        <v>7343078.3999999994</v>
      </c>
      <c r="C24" s="51">
        <v>6442732.7999999998</v>
      </c>
      <c r="D24" s="51">
        <v>3380645.9999999995</v>
      </c>
      <c r="E24" s="51">
        <v>2525091.48</v>
      </c>
      <c r="F24" s="51">
        <v>518476.79999999999</v>
      </c>
      <c r="G24" s="51">
        <v>687283.19999999995</v>
      </c>
      <c r="H24" s="51">
        <v>741476.8</v>
      </c>
      <c r="I24" s="51">
        <v>306796.79999999999</v>
      </c>
      <c r="J24" s="51">
        <v>751123.2</v>
      </c>
      <c r="K24" s="51">
        <v>564796.80000000005</v>
      </c>
      <c r="L24" s="51">
        <v>38857.980000000003</v>
      </c>
      <c r="M24" s="51">
        <v>516256.02</v>
      </c>
      <c r="N24" s="51">
        <v>212462.98</v>
      </c>
      <c r="O24" s="51">
        <v>8292.58</v>
      </c>
      <c r="P24" s="51">
        <v>406336.42</v>
      </c>
      <c r="Q24" s="51">
        <v>57267.58</v>
      </c>
      <c r="R24" s="51">
        <v>115.89999999999999</v>
      </c>
      <c r="S24" s="51">
        <v>198.54999999999998</v>
      </c>
      <c r="T24" s="51">
        <v>116.85</v>
      </c>
      <c r="U24" s="51">
        <v>41.25</v>
      </c>
      <c r="V24" s="51">
        <v>67.100000000000009</v>
      </c>
      <c r="W24" s="51">
        <v>33.6</v>
      </c>
      <c r="X24" s="51">
        <v>83.399999999999991</v>
      </c>
      <c r="Y24" s="51">
        <v>4.5599999999999996</v>
      </c>
      <c r="Z24" s="51">
        <v>28.38</v>
      </c>
      <c r="AA24" s="51">
        <v>2.2799999999999998</v>
      </c>
      <c r="AB24" s="51">
        <v>12.9</v>
      </c>
      <c r="AC24" s="51">
        <v>0.9</v>
      </c>
      <c r="AD24" s="51">
        <v>0.13</v>
      </c>
      <c r="AE24" s="51">
        <v>0.28999999999999998</v>
      </c>
      <c r="AF24" s="51">
        <v>0.65</v>
      </c>
      <c r="AG24" s="51">
        <v>0.39</v>
      </c>
      <c r="AH24" s="51">
        <v>0.1</v>
      </c>
      <c r="AI24" s="51">
        <v>0.19</v>
      </c>
      <c r="AJ24" s="51">
        <v>0.26</v>
      </c>
    </row>
    <row r="25" spans="1:36" ht="25" customHeight="1" x14ac:dyDescent="0.2">
      <c r="A25" s="51">
        <v>151</v>
      </c>
      <c r="B25" s="51">
        <v>6456844.7999999998</v>
      </c>
      <c r="C25" s="51">
        <v>5665161.6000000006</v>
      </c>
      <c r="D25" s="51">
        <v>2972637</v>
      </c>
      <c r="E25" s="51">
        <v>2220339.06</v>
      </c>
      <c r="F25" s="51">
        <v>409958.40000000002</v>
      </c>
      <c r="G25" s="51">
        <v>795801.59999999998</v>
      </c>
      <c r="H25" s="51">
        <v>632958.4</v>
      </c>
      <c r="I25" s="51">
        <v>476064</v>
      </c>
      <c r="J25" s="51">
        <v>581856</v>
      </c>
      <c r="K25" s="51">
        <v>734064</v>
      </c>
      <c r="L25" s="51">
        <v>0</v>
      </c>
      <c r="M25" s="51">
        <v>555114</v>
      </c>
      <c r="N25" s="51">
        <v>173605</v>
      </c>
      <c r="O25" s="51">
        <v>82925.8</v>
      </c>
      <c r="P25" s="51">
        <v>331703.2</v>
      </c>
      <c r="Q25" s="51">
        <v>131900.79999999999</v>
      </c>
      <c r="R25" s="51">
        <v>36.6</v>
      </c>
      <c r="S25" s="51">
        <v>62.699999999999996</v>
      </c>
      <c r="T25" s="51">
        <v>36.9</v>
      </c>
      <c r="U25" s="51">
        <v>69.75</v>
      </c>
      <c r="V25" s="51">
        <v>113.46000000000001</v>
      </c>
      <c r="W25" s="51">
        <v>28.2</v>
      </c>
      <c r="X25" s="51">
        <v>73.2</v>
      </c>
      <c r="Y25" s="51">
        <v>4</v>
      </c>
      <c r="Z25" s="51">
        <v>32.01</v>
      </c>
      <c r="AA25" s="51">
        <v>2</v>
      </c>
      <c r="AB25" s="51">
        <v>14.549999999999999</v>
      </c>
      <c r="AC25" s="51">
        <v>0.68</v>
      </c>
      <c r="AD25" s="51">
        <v>0.39</v>
      </c>
      <c r="AE25" s="51">
        <v>0.27</v>
      </c>
      <c r="AF25" s="51">
        <v>0.61</v>
      </c>
      <c r="AG25" s="51">
        <v>0.27</v>
      </c>
      <c r="AH25" s="51">
        <v>0.1</v>
      </c>
      <c r="AI25" s="51">
        <v>0.13</v>
      </c>
      <c r="AJ25" s="51">
        <v>0.21</v>
      </c>
    </row>
    <row r="26" spans="1:36" ht="25" customHeight="1" x14ac:dyDescent="0.2">
      <c r="A26" s="51">
        <v>152</v>
      </c>
      <c r="B26" s="51">
        <v>5823820.7999999998</v>
      </c>
      <c r="C26" s="51">
        <v>5109753.6000000006</v>
      </c>
      <c r="D26" s="51">
        <v>2681202</v>
      </c>
      <c r="E26" s="51">
        <v>2002658.76</v>
      </c>
      <c r="F26" s="51">
        <v>337612.80000000005</v>
      </c>
      <c r="G26" s="51">
        <v>868147.19999999995</v>
      </c>
      <c r="H26" s="51">
        <v>560612.80000000005</v>
      </c>
      <c r="I26" s="51">
        <v>74054.400000000009</v>
      </c>
      <c r="J26" s="51">
        <v>983865.6</v>
      </c>
      <c r="K26" s="51">
        <v>332054.40000000002</v>
      </c>
      <c r="L26" s="51">
        <v>216494.46000000002</v>
      </c>
      <c r="M26" s="51">
        <v>338619.54</v>
      </c>
      <c r="N26" s="51">
        <v>390099.46</v>
      </c>
      <c r="O26" s="51">
        <v>99510.959999999992</v>
      </c>
      <c r="P26" s="51">
        <v>315118.04000000004</v>
      </c>
      <c r="Q26" s="51">
        <v>148485.96</v>
      </c>
      <c r="R26" s="51">
        <v>107.36</v>
      </c>
      <c r="S26" s="51">
        <v>183.92</v>
      </c>
      <c r="T26" s="51">
        <v>108.24</v>
      </c>
      <c r="U26" s="51">
        <v>41.25</v>
      </c>
      <c r="V26" s="51">
        <v>67.100000000000009</v>
      </c>
      <c r="W26" s="51">
        <v>41.1</v>
      </c>
      <c r="X26" s="51">
        <v>69</v>
      </c>
      <c r="Y26" s="51">
        <v>3.44</v>
      </c>
      <c r="Z26" s="51">
        <v>27.06</v>
      </c>
      <c r="AA26" s="51">
        <v>1.72</v>
      </c>
      <c r="AB26" s="51">
        <v>12.299999999999999</v>
      </c>
      <c r="AC26" s="51">
        <v>0.88</v>
      </c>
      <c r="AD26" s="51">
        <v>0.11</v>
      </c>
      <c r="AE26" s="51">
        <v>0.36</v>
      </c>
      <c r="AF26" s="51">
        <v>0.84</v>
      </c>
      <c r="AG26" s="51">
        <v>0.11</v>
      </c>
      <c r="AH26" s="51">
        <v>0.37</v>
      </c>
      <c r="AI26" s="51">
        <v>0.18</v>
      </c>
      <c r="AJ26" s="51">
        <v>0.26</v>
      </c>
    </row>
    <row r="27" spans="1:36" ht="25" customHeight="1" x14ac:dyDescent="0.2">
      <c r="A27" s="51">
        <v>153</v>
      </c>
      <c r="B27" s="51">
        <v>4874284.8</v>
      </c>
      <c r="C27" s="51">
        <v>4276641.6000000006</v>
      </c>
      <c r="D27" s="51">
        <v>2244049.5</v>
      </c>
      <c r="E27" s="51">
        <v>1676138.31</v>
      </c>
      <c r="F27" s="51">
        <v>204979.20000000001</v>
      </c>
      <c r="G27" s="51">
        <v>1000780.8</v>
      </c>
      <c r="H27" s="51">
        <v>427979.2</v>
      </c>
      <c r="I27" s="51">
        <v>380851.20000000001</v>
      </c>
      <c r="J27" s="51">
        <v>677068.80000000005</v>
      </c>
      <c r="K27" s="51">
        <v>638851.19999999995</v>
      </c>
      <c r="L27" s="51">
        <v>122125.08</v>
      </c>
      <c r="M27" s="51">
        <v>432988.92</v>
      </c>
      <c r="N27" s="51">
        <v>295730.08</v>
      </c>
      <c r="O27" s="51">
        <v>95364.67</v>
      </c>
      <c r="P27" s="51">
        <v>319264.33</v>
      </c>
      <c r="Q27" s="51">
        <v>144339.66999999998</v>
      </c>
      <c r="R27" s="51">
        <v>57.339999999999996</v>
      </c>
      <c r="S27" s="51">
        <v>98.22999999999999</v>
      </c>
      <c r="T27" s="51">
        <v>57.809999999999995</v>
      </c>
      <c r="U27" s="51">
        <v>66</v>
      </c>
      <c r="V27" s="51">
        <v>107.36</v>
      </c>
      <c r="W27" s="51">
        <v>20.7</v>
      </c>
      <c r="X27" s="51">
        <v>61.800000000000004</v>
      </c>
      <c r="Y27" s="51">
        <v>4.08</v>
      </c>
      <c r="Z27" s="51">
        <v>26.73</v>
      </c>
      <c r="AA27" s="51">
        <v>2.04</v>
      </c>
      <c r="AB27" s="51">
        <v>12.15</v>
      </c>
      <c r="AC27" s="51">
        <v>0.68</v>
      </c>
      <c r="AD27" s="51">
        <v>0.4</v>
      </c>
      <c r="AE27" s="51">
        <v>0.22</v>
      </c>
      <c r="AF27" s="51">
        <v>0.79</v>
      </c>
      <c r="AG27" s="51">
        <v>0.14000000000000001</v>
      </c>
      <c r="AH27" s="51">
        <v>0.38</v>
      </c>
      <c r="AI27" s="51">
        <v>0.16</v>
      </c>
      <c r="AJ27" s="51">
        <v>0.23</v>
      </c>
    </row>
    <row r="28" spans="1:36" ht="25" customHeight="1" x14ac:dyDescent="0.2">
      <c r="A28" s="51">
        <v>154</v>
      </c>
      <c r="B28" s="51">
        <v>5317401.5999999996</v>
      </c>
      <c r="C28" s="51">
        <v>4665427.2</v>
      </c>
      <c r="D28" s="51">
        <v>2448054</v>
      </c>
      <c r="E28" s="51">
        <v>1828514.52</v>
      </c>
      <c r="F28" s="51">
        <v>108518.39999999999</v>
      </c>
      <c r="G28" s="51">
        <v>1097241.6000000001</v>
      </c>
      <c r="H28" s="51">
        <v>331518.40000000002</v>
      </c>
      <c r="I28" s="51">
        <v>507801.59999999998</v>
      </c>
      <c r="J28" s="51">
        <v>550118.40000000002</v>
      </c>
      <c r="K28" s="51">
        <v>765801.6</v>
      </c>
      <c r="L28" s="51">
        <v>88818.240000000005</v>
      </c>
      <c r="M28" s="51">
        <v>466295.76</v>
      </c>
      <c r="N28" s="51">
        <v>262423.24</v>
      </c>
      <c r="O28" s="51">
        <v>24877.739999999998</v>
      </c>
      <c r="P28" s="51">
        <v>389751.26</v>
      </c>
      <c r="Q28" s="51">
        <v>73852.739999999991</v>
      </c>
      <c r="R28" s="51">
        <v>84.179999999999993</v>
      </c>
      <c r="S28" s="51">
        <v>144.20999999999998</v>
      </c>
      <c r="T28" s="51">
        <v>84.86999999999999</v>
      </c>
      <c r="U28" s="51">
        <v>25.500000000000004</v>
      </c>
      <c r="V28" s="51">
        <v>41.480000000000004</v>
      </c>
      <c r="W28" s="51">
        <v>31.8</v>
      </c>
      <c r="X28" s="51">
        <v>66</v>
      </c>
      <c r="Y28" s="51">
        <v>4.4400000000000004</v>
      </c>
      <c r="Z28" s="51">
        <v>32.339999999999996</v>
      </c>
      <c r="AA28" s="51">
        <v>2.2200000000000002</v>
      </c>
      <c r="AB28" s="51">
        <v>14.7</v>
      </c>
      <c r="AC28" s="51">
        <v>0.68</v>
      </c>
      <c r="AD28" s="51">
        <v>0.23</v>
      </c>
      <c r="AE28" s="51">
        <v>0.35</v>
      </c>
      <c r="AF28" s="51">
        <v>0.76</v>
      </c>
      <c r="AG28" s="51">
        <v>0.23</v>
      </c>
      <c r="AH28" s="51">
        <v>0.18</v>
      </c>
      <c r="AI28" s="51">
        <v>0.12</v>
      </c>
      <c r="AJ28" s="51">
        <v>0.11</v>
      </c>
    </row>
    <row r="29" spans="1:36" ht="25" customHeight="1" x14ac:dyDescent="0.2">
      <c r="A29" s="51">
        <v>155</v>
      </c>
      <c r="B29" s="51">
        <v>7722892.7999999998</v>
      </c>
      <c r="C29" s="51">
        <v>6775977.5999999996</v>
      </c>
      <c r="D29" s="51">
        <v>3555507</v>
      </c>
      <c r="E29" s="51">
        <v>2655699.66</v>
      </c>
      <c r="F29" s="51">
        <v>506419.19999999995</v>
      </c>
      <c r="G29" s="51">
        <v>699340.80000000005</v>
      </c>
      <c r="H29" s="51">
        <v>729419.2</v>
      </c>
      <c r="I29" s="51">
        <v>179846.40000000002</v>
      </c>
      <c r="J29" s="51">
        <v>878073.6</v>
      </c>
      <c r="K29" s="51">
        <v>437846.4</v>
      </c>
      <c r="L29" s="51">
        <v>116573.94</v>
      </c>
      <c r="M29" s="51">
        <v>438540.06</v>
      </c>
      <c r="N29" s="51">
        <v>290178.94</v>
      </c>
      <c r="O29" s="51">
        <v>124388.7</v>
      </c>
      <c r="P29" s="51">
        <v>290240.3</v>
      </c>
      <c r="Q29" s="51">
        <v>173363.7</v>
      </c>
      <c r="R29" s="51">
        <v>102.47999999999999</v>
      </c>
      <c r="S29" s="51">
        <v>175.56</v>
      </c>
      <c r="T29" s="51">
        <v>103.32</v>
      </c>
      <c r="U29" s="51">
        <v>27</v>
      </c>
      <c r="V29" s="51">
        <v>43.92</v>
      </c>
      <c r="W29" s="51">
        <v>34.5</v>
      </c>
      <c r="X29" s="51">
        <v>37.799999999999997</v>
      </c>
      <c r="Y29" s="51">
        <v>3.36</v>
      </c>
      <c r="Z29" s="51">
        <v>33.99</v>
      </c>
      <c r="AA29" s="51">
        <v>1.68</v>
      </c>
      <c r="AB29" s="51">
        <v>15.450000000000001</v>
      </c>
      <c r="AC29" s="51">
        <v>0.84</v>
      </c>
      <c r="AD29" s="51">
        <v>0.28999999999999998</v>
      </c>
      <c r="AE29" s="51">
        <v>0.19</v>
      </c>
      <c r="AF29" s="51">
        <v>0.8</v>
      </c>
      <c r="AG29" s="51">
        <v>0.2</v>
      </c>
      <c r="AH29" s="51">
        <v>0.11</v>
      </c>
      <c r="AI29" s="51">
        <v>0.14000000000000001</v>
      </c>
      <c r="AJ29" s="51">
        <v>0.18</v>
      </c>
    </row>
    <row r="30" spans="1:36" ht="25" customHeight="1" x14ac:dyDescent="0.2">
      <c r="A30" s="51">
        <v>156</v>
      </c>
      <c r="B30" s="51">
        <v>6013728</v>
      </c>
      <c r="C30" s="51">
        <v>5276376</v>
      </c>
      <c r="D30" s="51">
        <v>2768632.5</v>
      </c>
      <c r="E30" s="51">
        <v>2067962.8499999999</v>
      </c>
      <c r="F30" s="51">
        <v>265267.20000000001</v>
      </c>
      <c r="G30" s="51">
        <v>940492.80000000005</v>
      </c>
      <c r="H30" s="51">
        <v>488267.2</v>
      </c>
      <c r="I30" s="51">
        <v>126950.39999999999</v>
      </c>
      <c r="J30" s="51">
        <v>930969.59999999998</v>
      </c>
      <c r="K30" s="51">
        <v>384950.4</v>
      </c>
      <c r="L30" s="51">
        <v>249801.30000000002</v>
      </c>
      <c r="M30" s="51">
        <v>305312.69999999995</v>
      </c>
      <c r="N30" s="51">
        <v>423406.30000000005</v>
      </c>
      <c r="O30" s="51">
        <v>91218.38</v>
      </c>
      <c r="P30" s="51">
        <v>323410.62</v>
      </c>
      <c r="Q30" s="51">
        <v>140193.38</v>
      </c>
      <c r="R30" s="51">
        <v>32.940000000000005</v>
      </c>
      <c r="S30" s="51">
        <v>56.430000000000007</v>
      </c>
      <c r="T30" s="51">
        <v>33.21</v>
      </c>
      <c r="U30" s="51">
        <v>45</v>
      </c>
      <c r="V30" s="51">
        <v>73.2</v>
      </c>
      <c r="W30" s="51">
        <v>25.5</v>
      </c>
      <c r="X30" s="51">
        <v>45.6</v>
      </c>
      <c r="Y30" s="51">
        <v>4.84</v>
      </c>
      <c r="Z30" s="51">
        <v>25.740000000000002</v>
      </c>
      <c r="AA30" s="51">
        <v>2.42</v>
      </c>
      <c r="AB30" s="51">
        <v>11.700000000000001</v>
      </c>
      <c r="AC30" s="51">
        <v>0.69</v>
      </c>
      <c r="AD30" s="51">
        <v>0.19</v>
      </c>
      <c r="AE30" s="51">
        <v>0.35</v>
      </c>
      <c r="AF30" s="51">
        <v>0.74</v>
      </c>
      <c r="AG30" s="51">
        <v>0.31</v>
      </c>
      <c r="AH30" s="51">
        <v>0.25</v>
      </c>
      <c r="AI30" s="51">
        <v>0.13</v>
      </c>
      <c r="AJ30" s="51">
        <v>0.18</v>
      </c>
    </row>
    <row r="31" spans="1:36" ht="25" customHeight="1" x14ac:dyDescent="0.2">
      <c r="A31" s="51">
        <v>157</v>
      </c>
      <c r="B31" s="51">
        <v>5254099.2</v>
      </c>
      <c r="C31" s="51">
        <v>4609886.3999999994</v>
      </c>
      <c r="D31" s="51">
        <v>2418910.5</v>
      </c>
      <c r="E31" s="51">
        <v>1806746.49</v>
      </c>
      <c r="F31" s="51">
        <v>60288</v>
      </c>
      <c r="G31" s="51">
        <v>1145472</v>
      </c>
      <c r="H31" s="51">
        <v>283288</v>
      </c>
      <c r="I31" s="51">
        <v>454905.59999999998</v>
      </c>
      <c r="J31" s="51">
        <v>603014.40000000002</v>
      </c>
      <c r="K31" s="51">
        <v>712905.6</v>
      </c>
      <c r="L31" s="51">
        <v>16653.419999999998</v>
      </c>
      <c r="M31" s="51">
        <v>538460.57999999996</v>
      </c>
      <c r="N31" s="51">
        <v>190258.41999999998</v>
      </c>
      <c r="O31" s="51">
        <v>111949.83</v>
      </c>
      <c r="P31" s="51">
        <v>302679.17</v>
      </c>
      <c r="Q31" s="51">
        <v>160924.83000000002</v>
      </c>
      <c r="R31" s="51">
        <v>34.160000000000004</v>
      </c>
      <c r="S31" s="51">
        <v>58.52</v>
      </c>
      <c r="T31" s="51">
        <v>34.440000000000005</v>
      </c>
      <c r="U31" s="51">
        <v>72</v>
      </c>
      <c r="V31" s="51">
        <v>117.11999999999999</v>
      </c>
      <c r="W31" s="51">
        <v>21.299999999999997</v>
      </c>
      <c r="X31" s="51">
        <v>64.2</v>
      </c>
      <c r="Y31" s="51">
        <v>4.28</v>
      </c>
      <c r="Z31" s="51">
        <v>40.92</v>
      </c>
      <c r="AA31" s="51">
        <v>2.14</v>
      </c>
      <c r="AB31" s="51">
        <v>18.600000000000001</v>
      </c>
      <c r="AC31" s="51">
        <v>0.78</v>
      </c>
      <c r="AD31" s="51">
        <v>0.39</v>
      </c>
      <c r="AE31" s="51">
        <v>0.12</v>
      </c>
      <c r="AF31" s="51">
        <v>0.69</v>
      </c>
      <c r="AG31" s="51">
        <v>0.34</v>
      </c>
      <c r="AH31" s="51">
        <v>0.28000000000000003</v>
      </c>
      <c r="AI31" s="51">
        <v>0.11</v>
      </c>
      <c r="AJ31" s="51">
        <v>0.2</v>
      </c>
    </row>
    <row r="32" spans="1:36" ht="25" customHeight="1" x14ac:dyDescent="0.2">
      <c r="A32" s="51">
        <v>158</v>
      </c>
      <c r="B32" s="51">
        <v>5633913.5999999996</v>
      </c>
      <c r="C32" s="51">
        <v>4943131.2</v>
      </c>
      <c r="D32" s="51">
        <v>2593771.5</v>
      </c>
      <c r="E32" s="51">
        <v>1937354.67</v>
      </c>
      <c r="F32" s="51">
        <v>494361.59999999998</v>
      </c>
      <c r="G32" s="51">
        <v>711398.40000000002</v>
      </c>
      <c r="H32" s="51">
        <v>717361.6</v>
      </c>
      <c r="I32" s="51">
        <v>349113.60000000003</v>
      </c>
      <c r="J32" s="51">
        <v>708806.39999999991</v>
      </c>
      <c r="K32" s="51">
        <v>607113.60000000009</v>
      </c>
      <c r="L32" s="51">
        <v>160983.06</v>
      </c>
      <c r="M32" s="51">
        <v>394130.94</v>
      </c>
      <c r="N32" s="51">
        <v>334588.06</v>
      </c>
      <c r="O32" s="51">
        <v>145120.15</v>
      </c>
      <c r="P32" s="51">
        <v>269508.84999999998</v>
      </c>
      <c r="Q32" s="51">
        <v>194095.15</v>
      </c>
      <c r="R32" s="51">
        <v>106.14</v>
      </c>
      <c r="S32" s="51">
        <v>181.83</v>
      </c>
      <c r="T32" s="51">
        <v>107.01</v>
      </c>
      <c r="U32" s="51">
        <v>35.25</v>
      </c>
      <c r="V32" s="51">
        <v>57.339999999999996</v>
      </c>
      <c r="W32" s="51">
        <v>23.400000000000002</v>
      </c>
      <c r="X32" s="51">
        <v>56.4</v>
      </c>
      <c r="Y32" s="51">
        <v>3.24</v>
      </c>
      <c r="Z32" s="51">
        <v>37.29</v>
      </c>
      <c r="AA32" s="51">
        <v>1.62</v>
      </c>
      <c r="AB32" s="51">
        <v>16.95</v>
      </c>
      <c r="AC32" s="51">
        <v>0.71</v>
      </c>
      <c r="AD32" s="51">
        <v>0.19</v>
      </c>
      <c r="AE32" s="51">
        <v>0.24</v>
      </c>
      <c r="AF32" s="51">
        <v>0.61</v>
      </c>
      <c r="AG32" s="51">
        <v>0.12</v>
      </c>
      <c r="AH32" s="51">
        <v>0.11</v>
      </c>
      <c r="AI32" s="51">
        <v>0.23</v>
      </c>
      <c r="AJ32" s="51">
        <v>0.25</v>
      </c>
    </row>
    <row r="33" spans="1:36" ht="25" customHeight="1" x14ac:dyDescent="0.2">
      <c r="A33" s="51">
        <v>159</v>
      </c>
      <c r="B33" s="51">
        <v>6266937.5999999996</v>
      </c>
      <c r="C33" s="51">
        <v>5498539.2000000002</v>
      </c>
      <c r="D33" s="51">
        <v>2885206.5</v>
      </c>
      <c r="E33" s="51">
        <v>2155034.9700000002</v>
      </c>
      <c r="F33" s="51">
        <v>397900.80000000005</v>
      </c>
      <c r="G33" s="51">
        <v>807859.19999999995</v>
      </c>
      <c r="H33" s="51">
        <v>620900.80000000005</v>
      </c>
      <c r="I33" s="51">
        <v>285638.40000000002</v>
      </c>
      <c r="J33" s="51">
        <v>772281.6</v>
      </c>
      <c r="K33" s="51">
        <v>543638.4</v>
      </c>
      <c r="L33" s="51">
        <v>205392.18</v>
      </c>
      <c r="M33" s="51">
        <v>349721.82</v>
      </c>
      <c r="N33" s="51">
        <v>378997.18</v>
      </c>
      <c r="O33" s="51">
        <v>70486.930000000008</v>
      </c>
      <c r="P33" s="51">
        <v>344142.07</v>
      </c>
      <c r="Q33" s="51">
        <v>119461.93000000001</v>
      </c>
      <c r="R33" s="51">
        <v>97.600000000000009</v>
      </c>
      <c r="S33" s="51">
        <v>167.20000000000002</v>
      </c>
      <c r="T33" s="51">
        <v>98.4</v>
      </c>
      <c r="U33" s="51">
        <v>19.5</v>
      </c>
      <c r="V33" s="51">
        <v>31.720000000000002</v>
      </c>
      <c r="W33" s="51">
        <v>18.899999999999999</v>
      </c>
      <c r="X33" s="51">
        <v>52.8</v>
      </c>
      <c r="Y33" s="51">
        <v>4.96</v>
      </c>
      <c r="Z33" s="51">
        <v>30.69</v>
      </c>
      <c r="AA33" s="51">
        <v>2.48</v>
      </c>
      <c r="AB33" s="51">
        <v>13.950000000000001</v>
      </c>
      <c r="AC33" s="51">
        <v>0.87</v>
      </c>
      <c r="AD33" s="51">
        <v>0.27</v>
      </c>
      <c r="AE33" s="51">
        <v>0.21</v>
      </c>
      <c r="AF33" s="51">
        <v>0.69</v>
      </c>
      <c r="AG33" s="51">
        <v>0.14000000000000001</v>
      </c>
      <c r="AH33" s="51">
        <v>0.21</v>
      </c>
      <c r="AI33" s="51">
        <v>0.24</v>
      </c>
      <c r="AJ33" s="51">
        <v>0.3</v>
      </c>
    </row>
  </sheetData>
  <mergeCells count="9">
    <mergeCell ref="W1:AB1"/>
    <mergeCell ref="AC1:AJ1"/>
    <mergeCell ref="A1:A2"/>
    <mergeCell ref="B1:E2"/>
    <mergeCell ref="F2:H2"/>
    <mergeCell ref="I2:K2"/>
    <mergeCell ref="L2:N2"/>
    <mergeCell ref="O2:Q2"/>
    <mergeCell ref="F1:V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3"/>
  <sheetViews>
    <sheetView zoomScale="112" zoomScaleNormal="120" workbookViewId="0">
      <selection activeCell="F32" sqref="F32"/>
    </sheetView>
  </sheetViews>
  <sheetFormatPr baseColWidth="10" defaultColWidth="8.83203125" defaultRowHeight="16" x14ac:dyDescent="0.2"/>
  <cols>
    <col min="1" max="1" width="4.1640625" bestFit="1" customWidth="1"/>
    <col min="2" max="2" width="11" bestFit="1" customWidth="1"/>
    <col min="3" max="3" width="17.33203125" bestFit="1" customWidth="1"/>
    <col min="4" max="4" width="17.83203125" bestFit="1" customWidth="1"/>
    <col min="5" max="5" width="10.1640625" bestFit="1" customWidth="1"/>
    <col min="6" max="6" width="13.1640625" bestFit="1" customWidth="1"/>
    <col min="7" max="7" width="13.6640625" bestFit="1" customWidth="1"/>
    <col min="8" max="8" width="14.5" bestFit="1" customWidth="1"/>
    <col min="9" max="9" width="18.6640625" bestFit="1" customWidth="1"/>
    <col min="10" max="10" width="15" bestFit="1" customWidth="1"/>
    <col min="11" max="11" width="19.1640625" bestFit="1" customWidth="1"/>
    <col min="12" max="12" width="9.6640625" bestFit="1" customWidth="1"/>
    <col min="13" max="13" width="10.5" bestFit="1" customWidth="1"/>
    <col min="14" max="14" width="8.83203125" bestFit="1" customWidth="1"/>
    <col min="15" max="15" width="9.6640625" bestFit="1" customWidth="1"/>
    <col min="16" max="16" width="10.1640625" bestFit="1" customWidth="1"/>
    <col min="17" max="17" width="9.33203125" bestFit="1" customWidth="1"/>
    <col min="18" max="18" width="9.83203125" bestFit="1" customWidth="1"/>
    <col min="19" max="19" width="12.1640625" bestFit="1" customWidth="1"/>
    <col min="20" max="20" width="9.6640625" bestFit="1" customWidth="1"/>
    <col min="21" max="21" width="12" bestFit="1" customWidth="1"/>
  </cols>
  <sheetData>
    <row r="1" spans="1:21" ht="17" thickBot="1" x14ac:dyDescent="0.25">
      <c r="B1" s="120" t="s">
        <v>149</v>
      </c>
      <c r="C1" s="121"/>
      <c r="D1" s="121"/>
      <c r="E1" s="121"/>
      <c r="F1" s="121"/>
      <c r="G1" s="122"/>
      <c r="H1" s="120" t="s">
        <v>152</v>
      </c>
      <c r="I1" s="121"/>
      <c r="J1" s="121"/>
      <c r="K1" s="122"/>
      <c r="L1" s="120" t="s">
        <v>155</v>
      </c>
      <c r="M1" s="121"/>
      <c r="N1" s="121"/>
      <c r="O1" s="121"/>
      <c r="P1" s="121"/>
      <c r="Q1" s="122"/>
      <c r="R1" s="120" t="s">
        <v>158</v>
      </c>
      <c r="S1" s="121"/>
      <c r="T1" s="121"/>
      <c r="U1" s="122"/>
    </row>
    <row r="2" spans="1:21" ht="17" thickBot="1" x14ac:dyDescent="0.25">
      <c r="B2" s="120" t="s">
        <v>150</v>
      </c>
      <c r="C2" s="121"/>
      <c r="D2" s="122"/>
      <c r="E2" s="120" t="s">
        <v>151</v>
      </c>
      <c r="F2" s="121"/>
      <c r="G2" s="122"/>
      <c r="H2" s="120" t="s">
        <v>153</v>
      </c>
      <c r="I2" s="122"/>
      <c r="J2" s="120" t="s">
        <v>154</v>
      </c>
      <c r="K2" s="122"/>
      <c r="L2" s="120" t="s">
        <v>156</v>
      </c>
      <c r="M2" s="121"/>
      <c r="N2" s="121"/>
      <c r="O2" s="122"/>
      <c r="P2" s="120" t="s">
        <v>157</v>
      </c>
      <c r="Q2" s="122"/>
      <c r="R2" s="120" t="s">
        <v>153</v>
      </c>
      <c r="S2" s="122"/>
      <c r="T2" s="120" t="s">
        <v>159</v>
      </c>
      <c r="U2" s="122"/>
    </row>
    <row r="3" spans="1:21" x14ac:dyDescent="0.2">
      <c r="A3" s="54"/>
      <c r="B3" s="59" t="s">
        <v>47</v>
      </c>
      <c r="C3" s="60" t="s">
        <v>57</v>
      </c>
      <c r="D3" s="60" t="s">
        <v>59</v>
      </c>
      <c r="E3" s="61" t="s">
        <v>48</v>
      </c>
      <c r="F3" s="60" t="s">
        <v>50</v>
      </c>
      <c r="G3" s="62" t="s">
        <v>52</v>
      </c>
      <c r="H3" s="63" t="s">
        <v>49</v>
      </c>
      <c r="I3" s="60" t="s">
        <v>58</v>
      </c>
      <c r="J3" s="60" t="s">
        <v>51</v>
      </c>
      <c r="K3" s="62" t="s">
        <v>60</v>
      </c>
      <c r="L3" s="59" t="s">
        <v>53</v>
      </c>
      <c r="M3" s="60" t="s">
        <v>62</v>
      </c>
      <c r="N3" s="61" t="s">
        <v>54</v>
      </c>
      <c r="O3" s="60" t="s">
        <v>61</v>
      </c>
      <c r="P3" s="61" t="s">
        <v>55</v>
      </c>
      <c r="Q3" s="65" t="s">
        <v>56</v>
      </c>
      <c r="R3" s="63" t="s">
        <v>63</v>
      </c>
      <c r="S3" s="60" t="s">
        <v>64</v>
      </c>
      <c r="T3" s="60" t="s">
        <v>65</v>
      </c>
      <c r="U3" s="62" t="s">
        <v>66</v>
      </c>
    </row>
    <row r="4" spans="1:21" x14ac:dyDescent="0.2">
      <c r="A4" s="55">
        <v>130</v>
      </c>
      <c r="B4" s="56"/>
      <c r="C4" s="6"/>
      <c r="D4" s="6"/>
      <c r="E4" s="12"/>
      <c r="F4" s="6"/>
      <c r="G4" s="57"/>
      <c r="H4" s="58"/>
      <c r="I4" s="6"/>
      <c r="J4" s="6"/>
      <c r="K4" s="57"/>
      <c r="L4" s="56"/>
      <c r="M4" s="6"/>
      <c r="N4" s="12"/>
      <c r="O4" s="6"/>
      <c r="P4" s="12"/>
      <c r="Q4" s="64"/>
      <c r="R4" s="66"/>
      <c r="S4" s="14"/>
      <c r="T4" s="14"/>
      <c r="U4" s="67"/>
    </row>
    <row r="5" spans="1:21" x14ac:dyDescent="0.2">
      <c r="A5" s="55">
        <v>131</v>
      </c>
      <c r="B5" s="56"/>
      <c r="C5" s="6"/>
      <c r="D5" s="6"/>
      <c r="E5" s="12"/>
      <c r="F5" s="6"/>
      <c r="G5" s="57"/>
      <c r="H5" s="58"/>
      <c r="I5" s="6"/>
      <c r="J5" s="6"/>
      <c r="K5" s="57"/>
      <c r="L5" s="56"/>
      <c r="M5" s="6"/>
      <c r="N5" s="12"/>
      <c r="O5" s="6"/>
      <c r="P5" s="12"/>
      <c r="Q5" s="64"/>
      <c r="R5" s="66"/>
      <c r="S5" s="14"/>
      <c r="T5" s="14"/>
      <c r="U5" s="67"/>
    </row>
    <row r="6" spans="1:21" x14ac:dyDescent="0.2">
      <c r="A6" s="55">
        <v>132</v>
      </c>
      <c r="B6" s="56"/>
      <c r="C6" s="6"/>
      <c r="D6" s="6"/>
      <c r="E6" s="12"/>
      <c r="F6" s="6"/>
      <c r="G6" s="57"/>
      <c r="H6" s="58"/>
      <c r="I6" s="6"/>
      <c r="J6" s="6"/>
      <c r="K6" s="57"/>
      <c r="L6" s="56"/>
      <c r="M6" s="6"/>
      <c r="N6" s="12"/>
      <c r="O6" s="6"/>
      <c r="P6" s="12"/>
      <c r="Q6" s="64"/>
      <c r="R6" s="66"/>
      <c r="S6" s="14"/>
      <c r="T6" s="14"/>
      <c r="U6" s="67"/>
    </row>
    <row r="7" spans="1:21" x14ac:dyDescent="0.2">
      <c r="A7" s="55">
        <v>133</v>
      </c>
      <c r="B7" s="56"/>
      <c r="C7" s="6"/>
      <c r="D7" s="6"/>
      <c r="E7" s="12"/>
      <c r="F7" s="6"/>
      <c r="G7" s="57"/>
      <c r="H7" s="58"/>
      <c r="I7" s="6"/>
      <c r="J7" s="6"/>
      <c r="K7" s="57"/>
      <c r="L7" s="56"/>
      <c r="M7" s="6"/>
      <c r="N7" s="12"/>
      <c r="O7" s="6"/>
      <c r="P7" s="12"/>
      <c r="Q7" s="64"/>
      <c r="R7" s="66"/>
      <c r="S7" s="14"/>
      <c r="T7" s="14"/>
      <c r="U7" s="67"/>
    </row>
    <row r="8" spans="1:21" x14ac:dyDescent="0.2">
      <c r="A8" s="55">
        <v>134</v>
      </c>
      <c r="B8" s="56"/>
      <c r="C8" s="6"/>
      <c r="D8" s="6"/>
      <c r="E8" s="12"/>
      <c r="F8" s="6"/>
      <c r="G8" s="57"/>
      <c r="H8" s="58"/>
      <c r="I8" s="6"/>
      <c r="J8" s="6"/>
      <c r="K8" s="57"/>
      <c r="L8" s="56"/>
      <c r="M8" s="6"/>
      <c r="N8" s="12"/>
      <c r="O8" s="6"/>
      <c r="P8" s="12"/>
      <c r="Q8" s="64"/>
      <c r="R8" s="66"/>
      <c r="S8" s="14"/>
      <c r="T8" s="14"/>
      <c r="U8" s="67"/>
    </row>
    <row r="9" spans="1:21" x14ac:dyDescent="0.2">
      <c r="A9" s="55">
        <v>135</v>
      </c>
      <c r="B9" s="56"/>
      <c r="C9" s="6"/>
      <c r="D9" s="6"/>
      <c r="E9" s="12"/>
      <c r="F9" s="6"/>
      <c r="G9" s="57"/>
      <c r="H9" s="58"/>
      <c r="I9" s="6"/>
      <c r="J9" s="6"/>
      <c r="K9" s="57"/>
      <c r="L9" s="56"/>
      <c r="M9" s="6"/>
      <c r="N9" s="12"/>
      <c r="O9" s="6"/>
      <c r="P9" s="12"/>
      <c r="Q9" s="64"/>
      <c r="R9" s="66"/>
      <c r="S9" s="14"/>
      <c r="T9" s="14"/>
      <c r="U9" s="67"/>
    </row>
    <row r="10" spans="1:21" x14ac:dyDescent="0.2">
      <c r="A10" s="55">
        <v>136</v>
      </c>
      <c r="B10" s="56"/>
      <c r="C10" s="6"/>
      <c r="D10" s="6"/>
      <c r="E10" s="12"/>
      <c r="F10" s="6"/>
      <c r="G10" s="57"/>
      <c r="H10" s="58"/>
      <c r="I10" s="6"/>
      <c r="J10" s="6"/>
      <c r="K10" s="57"/>
      <c r="L10" s="56"/>
      <c r="M10" s="6"/>
      <c r="N10" s="12"/>
      <c r="O10" s="6"/>
      <c r="P10" s="12"/>
      <c r="Q10" s="64"/>
      <c r="R10" s="66"/>
      <c r="S10" s="14"/>
      <c r="T10" s="14"/>
      <c r="U10" s="67"/>
    </row>
    <row r="11" spans="1:21" x14ac:dyDescent="0.2">
      <c r="A11" s="55">
        <v>137</v>
      </c>
      <c r="B11" s="56"/>
      <c r="C11" s="6"/>
      <c r="D11" s="6"/>
      <c r="E11" s="12"/>
      <c r="F11" s="6"/>
      <c r="G11" s="57"/>
      <c r="H11" s="58"/>
      <c r="I11" s="6"/>
      <c r="J11" s="6"/>
      <c r="K11" s="57"/>
      <c r="L11" s="56"/>
      <c r="M11" s="6"/>
      <c r="N11" s="12"/>
      <c r="O11" s="6"/>
      <c r="P11" s="12"/>
      <c r="Q11" s="64"/>
      <c r="R11" s="66"/>
      <c r="S11" s="14"/>
      <c r="T11" s="14"/>
      <c r="U11" s="67"/>
    </row>
    <row r="12" spans="1:21" x14ac:dyDescent="0.2">
      <c r="A12" s="55">
        <v>138</v>
      </c>
      <c r="B12" s="56"/>
      <c r="C12" s="6"/>
      <c r="D12" s="6"/>
      <c r="E12" s="12"/>
      <c r="F12" s="6"/>
      <c r="G12" s="57"/>
      <c r="H12" s="58"/>
      <c r="I12" s="6"/>
      <c r="J12" s="6"/>
      <c r="K12" s="57"/>
      <c r="L12" s="56"/>
      <c r="M12" s="6"/>
      <c r="N12" s="12"/>
      <c r="O12" s="6"/>
      <c r="P12" s="12"/>
      <c r="Q12" s="64"/>
      <c r="R12" s="66"/>
      <c r="S12" s="14"/>
      <c r="T12" s="14"/>
      <c r="U12" s="67"/>
    </row>
    <row r="13" spans="1:21" x14ac:dyDescent="0.2">
      <c r="A13" s="55">
        <v>139</v>
      </c>
      <c r="B13" s="56"/>
      <c r="C13" s="6"/>
      <c r="D13" s="6"/>
      <c r="E13" s="12"/>
      <c r="F13" s="6"/>
      <c r="G13" s="57"/>
      <c r="H13" s="58"/>
      <c r="I13" s="6"/>
      <c r="J13" s="6"/>
      <c r="K13" s="57"/>
      <c r="L13" s="56"/>
      <c r="M13" s="6"/>
      <c r="N13" s="12"/>
      <c r="O13" s="6"/>
      <c r="P13" s="12"/>
      <c r="Q13" s="64"/>
      <c r="R13" s="66"/>
      <c r="S13" s="14"/>
      <c r="T13" s="14"/>
      <c r="U13" s="67"/>
    </row>
    <row r="14" spans="1:21" x14ac:dyDescent="0.2">
      <c r="A14" s="55">
        <v>140</v>
      </c>
      <c r="B14" s="56"/>
      <c r="C14" s="6"/>
      <c r="D14" s="6"/>
      <c r="E14" s="12"/>
      <c r="F14" s="6"/>
      <c r="G14" s="57"/>
      <c r="H14" s="58"/>
      <c r="I14" s="6"/>
      <c r="J14" s="6"/>
      <c r="K14" s="57"/>
      <c r="L14" s="56"/>
      <c r="M14" s="6"/>
      <c r="N14" s="12"/>
      <c r="O14" s="6"/>
      <c r="P14" s="12"/>
      <c r="Q14" s="64"/>
      <c r="R14" s="66"/>
      <c r="S14" s="14"/>
      <c r="T14" s="14"/>
      <c r="U14" s="67"/>
    </row>
    <row r="15" spans="1:21" x14ac:dyDescent="0.2">
      <c r="A15" s="55">
        <v>141</v>
      </c>
      <c r="B15" s="56"/>
      <c r="C15" s="6"/>
      <c r="D15" s="6"/>
      <c r="E15" s="12"/>
      <c r="F15" s="6"/>
      <c r="G15" s="57"/>
      <c r="H15" s="58"/>
      <c r="I15" s="6"/>
      <c r="J15" s="6"/>
      <c r="K15" s="57"/>
      <c r="L15" s="56"/>
      <c r="M15" s="6"/>
      <c r="N15" s="12"/>
      <c r="O15" s="6"/>
      <c r="P15" s="12"/>
      <c r="Q15" s="64"/>
      <c r="R15" s="66"/>
      <c r="S15" s="14"/>
      <c r="T15" s="14"/>
      <c r="U15" s="67"/>
    </row>
    <row r="16" spans="1:21" x14ac:dyDescent="0.2">
      <c r="A16" s="55">
        <v>142</v>
      </c>
      <c r="B16" s="56"/>
      <c r="C16" s="6"/>
      <c r="D16" s="6"/>
      <c r="E16" s="12"/>
      <c r="F16" s="6"/>
      <c r="G16" s="57"/>
      <c r="H16" s="58"/>
      <c r="I16" s="6"/>
      <c r="J16" s="6"/>
      <c r="K16" s="57"/>
      <c r="L16" s="56"/>
      <c r="M16" s="6"/>
      <c r="N16" s="12"/>
      <c r="O16" s="6"/>
      <c r="P16" s="12"/>
      <c r="Q16" s="64"/>
      <c r="R16" s="66"/>
      <c r="S16" s="14"/>
      <c r="T16" s="14"/>
      <c r="U16" s="67"/>
    </row>
    <row r="17" spans="1:21" x14ac:dyDescent="0.2">
      <c r="A17" s="55">
        <v>143</v>
      </c>
      <c r="B17" s="58"/>
      <c r="C17" s="6"/>
      <c r="D17" s="6"/>
      <c r="E17" s="6"/>
      <c r="F17" s="6"/>
      <c r="G17" s="57"/>
      <c r="H17" s="58"/>
      <c r="I17" s="6"/>
      <c r="J17" s="6"/>
      <c r="K17" s="57"/>
      <c r="L17" s="58"/>
      <c r="M17" s="6"/>
      <c r="N17" s="6"/>
      <c r="O17" s="6"/>
      <c r="P17" s="6"/>
      <c r="Q17" s="57"/>
      <c r="R17" s="66"/>
      <c r="S17" s="14"/>
      <c r="T17" s="14"/>
      <c r="U17" s="67"/>
    </row>
    <row r="18" spans="1:21" x14ac:dyDescent="0.2">
      <c r="A18" s="55">
        <v>144</v>
      </c>
      <c r="B18" s="58"/>
      <c r="C18" s="6"/>
      <c r="D18" s="6"/>
      <c r="E18" s="6"/>
      <c r="F18" s="6"/>
      <c r="G18" s="57"/>
      <c r="H18" s="58"/>
      <c r="I18" s="6"/>
      <c r="J18" s="6"/>
      <c r="K18" s="57"/>
      <c r="L18" s="58"/>
      <c r="M18" s="6"/>
      <c r="N18" s="6"/>
      <c r="O18" s="6"/>
      <c r="P18" s="6"/>
      <c r="Q18" s="57"/>
      <c r="R18" s="66"/>
      <c r="S18" s="14"/>
      <c r="T18" s="14"/>
      <c r="U18" s="67"/>
    </row>
    <row r="19" spans="1:21" x14ac:dyDescent="0.2">
      <c r="A19" s="55">
        <v>145</v>
      </c>
      <c r="B19" s="58"/>
      <c r="C19" s="6"/>
      <c r="D19" s="6"/>
      <c r="E19" s="6"/>
      <c r="F19" s="6"/>
      <c r="G19" s="57"/>
      <c r="H19" s="58"/>
      <c r="I19" s="6"/>
      <c r="J19" s="6"/>
      <c r="K19" s="57"/>
      <c r="L19" s="58"/>
      <c r="M19" s="6"/>
      <c r="N19" s="6"/>
      <c r="O19" s="6"/>
      <c r="P19" s="6"/>
      <c r="Q19" s="57"/>
      <c r="R19" s="66"/>
      <c r="S19" s="14"/>
      <c r="T19" s="14"/>
      <c r="U19" s="67"/>
    </row>
    <row r="20" spans="1:21" x14ac:dyDescent="0.2">
      <c r="A20" s="55">
        <v>146</v>
      </c>
      <c r="B20" s="58"/>
      <c r="C20" s="6"/>
      <c r="D20" s="6"/>
      <c r="E20" s="6"/>
      <c r="F20" s="6"/>
      <c r="G20" s="57"/>
      <c r="H20" s="58"/>
      <c r="I20" s="6"/>
      <c r="J20" s="6"/>
      <c r="K20" s="57"/>
      <c r="L20" s="58"/>
      <c r="M20" s="6"/>
      <c r="N20" s="6"/>
      <c r="O20" s="6"/>
      <c r="P20" s="6"/>
      <c r="Q20" s="57"/>
      <c r="R20" s="66"/>
      <c r="S20" s="14"/>
      <c r="T20" s="14"/>
      <c r="U20" s="67"/>
    </row>
    <row r="21" spans="1:21" x14ac:dyDescent="0.2">
      <c r="A21" s="55">
        <v>147</v>
      </c>
      <c r="B21" s="58"/>
      <c r="C21" s="6"/>
      <c r="D21" s="6"/>
      <c r="E21" s="6"/>
      <c r="F21" s="6"/>
      <c r="G21" s="57"/>
      <c r="H21" s="58"/>
      <c r="I21" s="6"/>
      <c r="J21" s="6"/>
      <c r="K21" s="57"/>
      <c r="L21" s="58"/>
      <c r="M21" s="6"/>
      <c r="N21" s="6"/>
      <c r="O21" s="6"/>
      <c r="P21" s="6"/>
      <c r="Q21" s="57"/>
      <c r="R21" s="66"/>
      <c r="S21" s="14"/>
      <c r="T21" s="14"/>
      <c r="U21" s="67"/>
    </row>
    <row r="22" spans="1:21" x14ac:dyDescent="0.2">
      <c r="A22" s="55">
        <v>148</v>
      </c>
      <c r="B22" s="58"/>
      <c r="C22" s="6"/>
      <c r="D22" s="6"/>
      <c r="E22" s="6"/>
      <c r="F22" s="6"/>
      <c r="G22" s="57"/>
      <c r="H22" s="58"/>
      <c r="I22" s="6"/>
      <c r="J22" s="6"/>
      <c r="K22" s="57"/>
      <c r="L22" s="58"/>
      <c r="M22" s="6"/>
      <c r="N22" s="6"/>
      <c r="O22" s="6"/>
      <c r="P22" s="6"/>
      <c r="Q22" s="57"/>
      <c r="R22" s="66"/>
      <c r="S22" s="14"/>
      <c r="T22" s="14"/>
      <c r="U22" s="67"/>
    </row>
    <row r="23" spans="1:21" x14ac:dyDescent="0.2">
      <c r="A23" s="55">
        <v>149</v>
      </c>
      <c r="B23" s="58"/>
      <c r="C23" s="6"/>
      <c r="D23" s="6"/>
      <c r="E23" s="6"/>
      <c r="F23" s="6"/>
      <c r="G23" s="57"/>
      <c r="H23" s="58"/>
      <c r="I23" s="6"/>
      <c r="J23" s="6"/>
      <c r="K23" s="57"/>
      <c r="L23" s="58"/>
      <c r="M23" s="6"/>
      <c r="N23" s="6"/>
      <c r="O23" s="6"/>
      <c r="P23" s="6"/>
      <c r="Q23" s="57"/>
      <c r="R23" s="66"/>
      <c r="S23" s="14"/>
      <c r="T23" s="14"/>
      <c r="U23" s="67"/>
    </row>
    <row r="24" spans="1:21" x14ac:dyDescent="0.2">
      <c r="A24" s="55">
        <v>150</v>
      </c>
      <c r="B24" s="58"/>
      <c r="C24" s="6"/>
      <c r="D24" s="6"/>
      <c r="E24" s="6"/>
      <c r="F24" s="6"/>
      <c r="G24" s="57"/>
      <c r="H24" s="58"/>
      <c r="I24" s="6"/>
      <c r="J24" s="6"/>
      <c r="K24" s="57"/>
      <c r="L24" s="58"/>
      <c r="M24" s="6"/>
      <c r="N24" s="6"/>
      <c r="O24" s="6"/>
      <c r="P24" s="6"/>
      <c r="Q24" s="57"/>
      <c r="R24" s="66"/>
      <c r="S24" s="14"/>
      <c r="T24" s="14"/>
      <c r="U24" s="67"/>
    </row>
    <row r="25" spans="1:21" x14ac:dyDescent="0.2">
      <c r="A25" s="55">
        <v>151</v>
      </c>
      <c r="B25" s="58"/>
      <c r="C25" s="6"/>
      <c r="D25" s="6"/>
      <c r="E25" s="6"/>
      <c r="F25" s="6"/>
      <c r="G25" s="57"/>
      <c r="H25" s="58"/>
      <c r="I25" s="6"/>
      <c r="J25" s="6"/>
      <c r="K25" s="57"/>
      <c r="L25" s="58"/>
      <c r="M25" s="6"/>
      <c r="N25" s="6"/>
      <c r="O25" s="6"/>
      <c r="P25" s="6"/>
      <c r="Q25" s="57"/>
      <c r="R25" s="66"/>
      <c r="S25" s="14"/>
      <c r="T25" s="14"/>
      <c r="U25" s="67"/>
    </row>
    <row r="26" spans="1:21" x14ac:dyDescent="0.2">
      <c r="A26" s="55">
        <v>152</v>
      </c>
      <c r="B26" s="58"/>
      <c r="C26" s="6"/>
      <c r="D26" s="6"/>
      <c r="E26" s="6"/>
      <c r="F26" s="6"/>
      <c r="G26" s="57"/>
      <c r="H26" s="58"/>
      <c r="I26" s="6"/>
      <c r="J26" s="6"/>
      <c r="K26" s="57"/>
      <c r="L26" s="58"/>
      <c r="M26" s="6"/>
      <c r="N26" s="6"/>
      <c r="O26" s="6"/>
      <c r="P26" s="6"/>
      <c r="Q26" s="57"/>
      <c r="R26" s="66"/>
      <c r="S26" s="14"/>
      <c r="T26" s="14"/>
      <c r="U26" s="67"/>
    </row>
    <row r="27" spans="1:21" x14ac:dyDescent="0.2">
      <c r="A27" s="55">
        <v>153</v>
      </c>
      <c r="B27" s="58"/>
      <c r="C27" s="6"/>
      <c r="D27" s="6"/>
      <c r="E27" s="6"/>
      <c r="F27" s="6"/>
      <c r="G27" s="57"/>
      <c r="H27" s="58"/>
      <c r="I27" s="6"/>
      <c r="J27" s="6"/>
      <c r="K27" s="57"/>
      <c r="L27" s="58"/>
      <c r="M27" s="6"/>
      <c r="N27" s="6"/>
      <c r="O27" s="6"/>
      <c r="P27" s="6"/>
      <c r="Q27" s="57"/>
      <c r="R27" s="66"/>
      <c r="S27" s="14"/>
      <c r="T27" s="14"/>
      <c r="U27" s="67"/>
    </row>
    <row r="28" spans="1:21" x14ac:dyDescent="0.2">
      <c r="A28" s="55">
        <v>154</v>
      </c>
      <c r="B28" s="58"/>
      <c r="C28" s="6"/>
      <c r="D28" s="6"/>
      <c r="E28" s="6"/>
      <c r="F28" s="6"/>
      <c r="G28" s="57"/>
      <c r="H28" s="58"/>
      <c r="I28" s="6"/>
      <c r="J28" s="6"/>
      <c r="K28" s="57"/>
      <c r="L28" s="58"/>
      <c r="M28" s="6"/>
      <c r="N28" s="6"/>
      <c r="O28" s="6"/>
      <c r="P28" s="6"/>
      <c r="Q28" s="57"/>
      <c r="R28" s="66"/>
      <c r="S28" s="14"/>
      <c r="T28" s="14"/>
      <c r="U28" s="67"/>
    </row>
    <row r="29" spans="1:21" x14ac:dyDescent="0.2">
      <c r="A29" s="55">
        <v>155</v>
      </c>
      <c r="B29" s="58"/>
      <c r="C29" s="6"/>
      <c r="D29" s="6"/>
      <c r="E29" s="6"/>
      <c r="F29" s="6"/>
      <c r="G29" s="57"/>
      <c r="H29" s="58"/>
      <c r="I29" s="6"/>
      <c r="J29" s="6"/>
      <c r="K29" s="57"/>
      <c r="L29" s="58"/>
      <c r="M29" s="6"/>
      <c r="N29" s="6"/>
      <c r="O29" s="6"/>
      <c r="P29" s="6"/>
      <c r="Q29" s="57"/>
      <c r="R29" s="66"/>
      <c r="S29" s="14"/>
      <c r="T29" s="14"/>
      <c r="U29" s="67"/>
    </row>
    <row r="30" spans="1:21" x14ac:dyDescent="0.2">
      <c r="A30" s="55">
        <v>156</v>
      </c>
      <c r="B30" s="58"/>
      <c r="C30" s="6"/>
      <c r="D30" s="6"/>
      <c r="E30" s="6"/>
      <c r="F30" s="6"/>
      <c r="G30" s="57"/>
      <c r="H30" s="58"/>
      <c r="I30" s="6"/>
      <c r="J30" s="6"/>
      <c r="K30" s="57"/>
      <c r="L30" s="58"/>
      <c r="M30" s="6"/>
      <c r="N30" s="6"/>
      <c r="O30" s="6"/>
      <c r="P30" s="6"/>
      <c r="Q30" s="57"/>
      <c r="R30" s="66"/>
      <c r="S30" s="14"/>
      <c r="T30" s="14"/>
      <c r="U30" s="67"/>
    </row>
    <row r="31" spans="1:21" x14ac:dyDescent="0.2">
      <c r="A31" s="55">
        <v>157</v>
      </c>
      <c r="B31" s="58"/>
      <c r="C31" s="6"/>
      <c r="D31" s="6"/>
      <c r="E31" s="6"/>
      <c r="F31" s="6"/>
      <c r="G31" s="57"/>
      <c r="H31" s="58"/>
      <c r="I31" s="6"/>
      <c r="J31" s="6"/>
      <c r="K31" s="57"/>
      <c r="L31" s="58"/>
      <c r="M31" s="6"/>
      <c r="N31" s="6"/>
      <c r="O31" s="6"/>
      <c r="P31" s="6"/>
      <c r="Q31" s="57"/>
      <c r="R31" s="66"/>
      <c r="S31" s="14"/>
      <c r="T31" s="14"/>
      <c r="U31" s="67"/>
    </row>
    <row r="32" spans="1:21" x14ac:dyDescent="0.2">
      <c r="A32" s="55">
        <v>158</v>
      </c>
      <c r="B32" s="58"/>
      <c r="C32" s="6"/>
      <c r="D32" s="6"/>
      <c r="E32" s="6"/>
      <c r="F32" s="6"/>
      <c r="G32" s="57"/>
      <c r="H32" s="58"/>
      <c r="I32" s="6"/>
      <c r="J32" s="6"/>
      <c r="K32" s="57"/>
      <c r="L32" s="58"/>
      <c r="M32" s="6"/>
      <c r="N32" s="6"/>
      <c r="O32" s="6"/>
      <c r="P32" s="6"/>
      <c r="Q32" s="57"/>
      <c r="R32" s="66"/>
      <c r="S32" s="14"/>
      <c r="T32" s="14"/>
      <c r="U32" s="67"/>
    </row>
    <row r="33" spans="1:21" x14ac:dyDescent="0.2">
      <c r="A33" s="55">
        <v>159</v>
      </c>
      <c r="B33" s="58"/>
      <c r="C33" s="6"/>
      <c r="D33" s="6"/>
      <c r="E33" s="6"/>
      <c r="F33" s="6"/>
      <c r="G33" s="57"/>
      <c r="H33" s="58"/>
      <c r="I33" s="6"/>
      <c r="J33" s="6"/>
      <c r="K33" s="57"/>
      <c r="L33" s="58"/>
      <c r="M33" s="6"/>
      <c r="N33" s="6"/>
      <c r="O33" s="6"/>
      <c r="P33" s="6"/>
      <c r="Q33" s="57"/>
      <c r="R33" s="66"/>
      <c r="S33" s="14"/>
      <c r="T33" s="14"/>
      <c r="U33" s="67"/>
    </row>
  </sheetData>
  <mergeCells count="12">
    <mergeCell ref="L1:Q1"/>
    <mergeCell ref="L2:O2"/>
    <mergeCell ref="P2:Q2"/>
    <mergeCell ref="R1:U1"/>
    <mergeCell ref="R2:S2"/>
    <mergeCell ref="T2:U2"/>
    <mergeCell ref="B2:D2"/>
    <mergeCell ref="B1:G1"/>
    <mergeCell ref="E2:G2"/>
    <mergeCell ref="H1:K1"/>
    <mergeCell ref="H2:I2"/>
    <mergeCell ref="J2:K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Input Parameter Design</vt:lpstr>
      <vt:lpstr>Output Indicator Design</vt:lpstr>
      <vt:lpstr>NOLH Designs (2)</vt:lpstr>
      <vt:lpstr>Actual Values</vt:lpstr>
      <vt:lpstr>ExpValues Eq</vt:lpstr>
      <vt:lpstr>ExpValues</vt:lpstr>
      <vt:lpstr>SimResults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Wael Rashwan</dc:creator>
  <cp:lastModifiedBy>Iniyanila Gnanasekar</cp:lastModifiedBy>
  <dcterms:created xsi:type="dcterms:W3CDTF">2021-03-02T00:16:10Z</dcterms:created>
  <dcterms:modified xsi:type="dcterms:W3CDTF">2026-08-31T17:16:59Z</dcterms:modified>
</cp:coreProperties>
</file>