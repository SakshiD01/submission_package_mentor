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gpr_matern" sheetId="2" state="visible" r:id="rId2"/>
    <sheet name="extra_trees" sheetId="3" state="visible" r:id="rId3"/>
    <sheet name="elastic_net" sheetId="4" state="visible" r:id="rId4"/>
    <sheet name="lasso" sheetId="5" state="visible" r:id="rId5"/>
    <sheet name="svr_rbf" sheetId="6" state="visible" r:id="rId6"/>
    <sheet name="gradient_boosting" sheetId="7" state="visible" r:id="rId7"/>
    <sheet name="Methods - Considered vs Tested"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8"/>
      <sz val="14"/>
    </font>
    <font>
      <i val="1"/>
      <color rgb="00666666"/>
      <sz val="10"/>
    </font>
    <font>
      <b val="1"/>
      <color rgb="00FFFFFF"/>
    </font>
  </fonts>
  <fills count="5">
    <fill>
      <patternFill/>
    </fill>
    <fill>
      <patternFill patternType="gray125"/>
    </fill>
    <fill>
      <patternFill patternType="solid">
        <fgColor rgb="001F4E78"/>
        <bgColor rgb="001F4E78"/>
      </patternFill>
    </fill>
    <fill>
      <patternFill patternType="solid">
        <fgColor rgb="00D9EAD3"/>
        <bgColor rgb="00D9EAD3"/>
      </patternFill>
    </fill>
    <fill>
      <patternFill patternType="solid">
        <fgColor rgb="00F4CCCC"/>
        <bgColor rgb="00F4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3" fillId="2" borderId="1" pivotButton="0" quotePrefix="0" xfId="0"/>
    <xf numFmtId="0" fontId="0" fillId="0" borderId="1" pivotButton="0" quotePrefix="0" xfId="0"/>
    <xf numFmtId="0" fontId="0" fillId="3" borderId="1" pivotButton="0" quotePrefix="0" xfId="0"/>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Chosen Method's Coverage vs 90% Target, per Family</a:t>
            </a:r>
          </a:p>
        </rich>
      </tx>
    </title>
    <plotArea>
      <barChart>
        <barDir val="col"/>
        <grouping val="clustered"/>
        <ser>
          <idx val="0"/>
          <order val="0"/>
          <tx>
            <strRef>
              <f>'Summary'!B17</f>
            </strRef>
          </tx>
          <spPr>
            <a:ln>
              <a:prstDash val="solid"/>
            </a:ln>
          </spPr>
          <cat>
            <numRef>
              <f>'Summary'!$A$18:$A$23</f>
            </numRef>
          </cat>
          <val>
            <numRef>
              <f>'Summary'!$B$18:$B$23</f>
            </numRef>
          </val>
        </ser>
        <ser>
          <idx val="1"/>
          <order val="1"/>
          <tx>
            <strRef>
              <f>'Summary'!C17</f>
            </strRef>
          </tx>
          <spPr>
            <a:ln>
              <a:prstDash val="solid"/>
            </a:ln>
          </spPr>
          <cat>
            <numRef>
              <f>'Summary'!$A$18:$A$23</f>
            </numRef>
          </cat>
          <val>
            <numRef>
              <f>'Summary'!$C$18:$C$23</f>
            </numRef>
          </val>
        </ser>
        <gapWidth val="150"/>
        <axId val="10"/>
        <axId val="100"/>
      </barChart>
      <catAx>
        <axId val="10"/>
        <scaling>
          <orientation val="minMax"/>
        </scaling>
        <axPos val="l"/>
        <majorTickMark val="none"/>
        <minorTickMark val="none"/>
        <crossAx val="100"/>
        <lblOffset val="100"/>
      </catAx>
      <valAx>
        <axId val="100"/>
        <scaling>
          <orientation val="minMax"/>
          <max val="1.05"/>
          <min val="0"/>
        </scaling>
        <axPos val="l"/>
        <majorGridlines/>
        <title>
          <tx>
            <rich>
              <a:bodyPr/>
              <a:p>
                <a:pPr>
                  <a:defRPr/>
                </a:pPr>
                <a:r>
                  <a:t>Coverage</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GPR (Matern): coverage per method (target 0.90)</a:t>
            </a:r>
          </a:p>
        </rich>
      </tx>
    </title>
    <plotArea>
      <barChart>
        <barDir val="col"/>
        <grouping val="clustered"/>
        <ser>
          <idx val="0"/>
          <order val="0"/>
          <tx>
            <strRef>
              <f>'gpr_matern'!B5</f>
            </strRef>
          </tx>
          <spPr>
            <a:ln>
              <a:prstDash val="solid"/>
            </a:ln>
          </spPr>
          <cat>
            <numRef>
              <f>'gpr_matern'!$A$6:$A$8</f>
            </numRef>
          </cat>
          <val>
            <numRef>
              <f>'gpr_matern'!$B$6:$B$8</f>
            </numRef>
          </val>
        </ser>
        <gapWidth val="150"/>
        <axId val="10"/>
        <axId val="100"/>
      </barChart>
      <catAx>
        <axId val="10"/>
        <scaling>
          <orientation val="minMax"/>
        </scaling>
        <axPos val="l"/>
        <majorTickMark val="none"/>
        <minorTickMark val="none"/>
        <crossAx val="100"/>
        <lblOffset val="100"/>
      </catAx>
      <valAx>
        <axId val="100"/>
        <scaling>
          <orientation val="minMax"/>
          <max val="1.05"/>
          <min val="0"/>
        </scaling>
        <axPos val="l"/>
        <majorGridlines/>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GPR (Matern): 2. Conformalized GPR (split conformal) -- predicted interval vs true value</a:t>
            </a:r>
          </a:p>
        </rich>
      </tx>
    </title>
    <plotArea>
      <lineChart>
        <grouping val="standard"/>
        <ser>
          <idx val="0"/>
          <order val="0"/>
          <tx>
            <strRef>
              <f>'gpr_matern'!D31</f>
            </strRef>
          </tx>
          <spPr>
            <a:ln w="10000">
              <a:solidFill>
                <a:srgbClr val="9DC3E6"/>
              </a:solidFill>
              <a:prstDash val="solid"/>
            </a:ln>
          </spPr>
          <marker>
            <symbol val="none"/>
            <spPr>
              <a:ln>
                <a:prstDash val="solid"/>
              </a:ln>
            </spPr>
          </marker>
          <cat>
            <numRef>
              <f>'gpr_matern'!$A$32:$A$57</f>
            </numRef>
          </cat>
          <val>
            <numRef>
              <f>'gpr_matern'!$D$32:$D$57</f>
            </numRef>
          </val>
          <smooth val="0"/>
        </ser>
        <ser>
          <idx val="1"/>
          <order val="1"/>
          <tx>
            <strRef>
              <f>'gpr_matern'!E31</f>
            </strRef>
          </tx>
          <spPr>
            <a:ln w="10000">
              <a:solidFill>
                <a:srgbClr val="9DC3E6"/>
              </a:solidFill>
              <a:prstDash val="solid"/>
            </a:ln>
          </spPr>
          <marker>
            <symbol val="none"/>
            <spPr>
              <a:ln>
                <a:prstDash val="solid"/>
              </a:ln>
            </spPr>
          </marker>
          <cat>
            <numRef>
              <f>'gpr_matern'!$A$32:$A$57</f>
            </numRef>
          </cat>
          <val>
            <numRef>
              <f>'gpr_matern'!$E$32:$E$57</f>
            </numRef>
          </val>
          <smooth val="0"/>
        </ser>
        <ser>
          <idx val="2"/>
          <order val="2"/>
          <tx>
            <strRef>
              <f>'gpr_matern'!C31</f>
            </strRef>
          </tx>
          <spPr>
            <a:ln w="15000">
              <a:solidFill>
                <a:srgbClr val="1F4E78"/>
              </a:solidFill>
              <a:prstDash val="solid"/>
            </a:ln>
          </spPr>
          <marker>
            <symbol val="none"/>
            <spPr>
              <a:ln>
                <a:prstDash val="solid"/>
              </a:ln>
            </spPr>
          </marker>
          <cat>
            <numRef>
              <f>'gpr_matern'!$A$32:$A$57</f>
            </numRef>
          </cat>
          <val>
            <numRef>
              <f>'gpr_matern'!$C$32:$C$57</f>
            </numRef>
          </val>
          <smooth val="0"/>
        </ser>
        <ser>
          <idx val="3"/>
          <order val="3"/>
          <tx>
            <strRef>
              <f>'gpr_matern'!B31</f>
            </strRef>
          </tx>
          <spPr>
            <a:ln>
              <a:noFill/>
              <a:prstDash val="solid"/>
            </a:ln>
          </spPr>
          <marker>
            <symbol val="circle"/>
            <size val="5"/>
            <spPr>
              <a:solidFill>
                <a:srgbClr val="C00000"/>
              </a:solidFill>
              <a:ln>
                <a:solidFill>
                  <a:srgbClr val="C00000"/>
                </a:solidFill>
                <a:prstDash val="solid"/>
              </a:ln>
            </spPr>
          </marker>
          <cat>
            <numRef>
              <f>'gpr_matern'!$A$32:$A$57</f>
            </numRef>
          </cat>
          <val>
            <numRef>
              <f>'gpr_matern'!$B$32:$B$57</f>
            </numRef>
          </val>
        </ser>
        <axId val="10"/>
        <axId val="100"/>
      </lineChart>
      <catAx>
        <axId val="10"/>
        <scaling>
          <orientation val="minMax"/>
        </scaling>
        <axPos val="l"/>
        <title>
          <tx>
            <rich>
              <a:bodyPr/>
              <a:p>
                <a:pPr>
                  <a:defRPr/>
                </a:pPr>
                <a:r>
                  <a:t>Test point rank (sorted by predicted mean)</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ExtraTrees: coverage per method (target 0.90)</a:t>
            </a:r>
          </a:p>
        </rich>
      </tx>
    </title>
    <plotArea>
      <barChart>
        <barDir val="col"/>
        <grouping val="clustered"/>
        <ser>
          <idx val="0"/>
          <order val="0"/>
          <tx>
            <strRef>
              <f>'extra_trees'!B5</f>
            </strRef>
          </tx>
          <spPr>
            <a:ln>
              <a:prstDash val="solid"/>
            </a:ln>
          </spPr>
          <cat>
            <numRef>
              <f>'extra_trees'!$A$6:$A$8</f>
            </numRef>
          </cat>
          <val>
            <numRef>
              <f>'extra_trees'!$B$6:$B$8</f>
            </numRef>
          </val>
        </ser>
        <gapWidth val="150"/>
        <axId val="10"/>
        <axId val="100"/>
      </barChart>
      <catAx>
        <axId val="10"/>
        <scaling>
          <orientation val="minMax"/>
        </scaling>
        <axPos val="l"/>
        <majorTickMark val="none"/>
        <minorTickMark val="none"/>
        <crossAx val="100"/>
        <lblOffset val="100"/>
      </catAx>
      <valAx>
        <axId val="100"/>
        <scaling>
          <orientation val="minMax"/>
          <max val="1.05"/>
          <min val="0"/>
        </scaling>
        <axPos val="l"/>
        <majorGridlines/>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ExtraTrees: 1. Native ensemble SD (bagging variance) -- predicted interval vs true value</a:t>
            </a:r>
          </a:p>
        </rich>
      </tx>
    </title>
    <plotArea>
      <lineChart>
        <grouping val="standard"/>
        <ser>
          <idx val="0"/>
          <order val="0"/>
          <tx>
            <strRef>
              <f>'extra_trees'!D31</f>
            </strRef>
          </tx>
          <spPr>
            <a:ln w="10000">
              <a:solidFill>
                <a:srgbClr val="9DC3E6"/>
              </a:solidFill>
              <a:prstDash val="solid"/>
            </a:ln>
          </spPr>
          <marker>
            <symbol val="none"/>
            <spPr>
              <a:ln>
                <a:prstDash val="solid"/>
              </a:ln>
            </spPr>
          </marker>
          <cat>
            <numRef>
              <f>'extra_trees'!$A$32:$A$57</f>
            </numRef>
          </cat>
          <val>
            <numRef>
              <f>'extra_trees'!$D$32:$D$57</f>
            </numRef>
          </val>
          <smooth val="0"/>
        </ser>
        <ser>
          <idx val="1"/>
          <order val="1"/>
          <tx>
            <strRef>
              <f>'extra_trees'!E31</f>
            </strRef>
          </tx>
          <spPr>
            <a:ln w="10000">
              <a:solidFill>
                <a:srgbClr val="9DC3E6"/>
              </a:solidFill>
              <a:prstDash val="solid"/>
            </a:ln>
          </spPr>
          <marker>
            <symbol val="none"/>
            <spPr>
              <a:ln>
                <a:prstDash val="solid"/>
              </a:ln>
            </spPr>
          </marker>
          <cat>
            <numRef>
              <f>'extra_trees'!$A$32:$A$57</f>
            </numRef>
          </cat>
          <val>
            <numRef>
              <f>'extra_trees'!$E$32:$E$57</f>
            </numRef>
          </val>
          <smooth val="0"/>
        </ser>
        <ser>
          <idx val="2"/>
          <order val="2"/>
          <tx>
            <strRef>
              <f>'extra_trees'!C31</f>
            </strRef>
          </tx>
          <spPr>
            <a:ln w="15000">
              <a:solidFill>
                <a:srgbClr val="1F4E78"/>
              </a:solidFill>
              <a:prstDash val="solid"/>
            </a:ln>
          </spPr>
          <marker>
            <symbol val="none"/>
            <spPr>
              <a:ln>
                <a:prstDash val="solid"/>
              </a:ln>
            </spPr>
          </marker>
          <cat>
            <numRef>
              <f>'extra_trees'!$A$32:$A$57</f>
            </numRef>
          </cat>
          <val>
            <numRef>
              <f>'extra_trees'!$C$32:$C$57</f>
            </numRef>
          </val>
          <smooth val="0"/>
        </ser>
        <ser>
          <idx val="3"/>
          <order val="3"/>
          <tx>
            <strRef>
              <f>'extra_trees'!B31</f>
            </strRef>
          </tx>
          <spPr>
            <a:ln>
              <a:noFill/>
              <a:prstDash val="solid"/>
            </a:ln>
          </spPr>
          <marker>
            <symbol val="circle"/>
            <size val="5"/>
            <spPr>
              <a:solidFill>
                <a:srgbClr val="C00000"/>
              </a:solidFill>
              <a:ln>
                <a:solidFill>
                  <a:srgbClr val="C00000"/>
                </a:solidFill>
                <a:prstDash val="solid"/>
              </a:ln>
            </spPr>
          </marker>
          <cat>
            <numRef>
              <f>'extra_trees'!$A$32:$A$57</f>
            </numRef>
          </cat>
          <val>
            <numRef>
              <f>'extra_trees'!$B$32:$B$57</f>
            </numRef>
          </val>
        </ser>
        <axId val="10"/>
        <axId val="100"/>
      </lineChart>
      <catAx>
        <axId val="10"/>
        <scaling>
          <orientation val="minMax"/>
        </scaling>
        <axPos val="l"/>
        <title>
          <tx>
            <rich>
              <a:bodyPr/>
              <a:p>
                <a:pPr>
                  <a:defRPr/>
                </a:pPr>
                <a:r>
                  <a:t>Test point rank (sorted by predicted mean)</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ElasticNet: coverage per method (target 0.90)</a:t>
            </a:r>
          </a:p>
        </rich>
      </tx>
    </title>
    <plotArea>
      <barChart>
        <barDir val="col"/>
        <grouping val="clustered"/>
        <ser>
          <idx val="0"/>
          <order val="0"/>
          <tx>
            <strRef>
              <f>'elastic_net'!B5</f>
            </strRef>
          </tx>
          <spPr>
            <a:ln>
              <a:prstDash val="solid"/>
            </a:ln>
          </spPr>
          <cat>
            <numRef>
              <f>'elastic_net'!$A$6:$A$8</f>
            </numRef>
          </cat>
          <val>
            <numRef>
              <f>'elastic_net'!$B$6:$B$8</f>
            </numRef>
          </val>
        </ser>
        <gapWidth val="150"/>
        <axId val="10"/>
        <axId val="100"/>
      </barChart>
      <catAx>
        <axId val="10"/>
        <scaling>
          <orientation val="minMax"/>
        </scaling>
        <axPos val="l"/>
        <majorTickMark val="none"/>
        <minorTickMark val="none"/>
        <crossAx val="100"/>
        <lblOffset val="100"/>
      </catAx>
      <valAx>
        <axId val="100"/>
        <scaling>
          <orientation val="minMax"/>
          <max val="1.05"/>
          <min val="0"/>
        </scaling>
        <axPos val="l"/>
        <majorGridlines/>
        <majorTickMark val="none"/>
        <minorTickMark val="none"/>
        <crossAx val="10"/>
      </valAx>
    </plotArea>
    <legend>
      <legendPos val="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ElasticNet: 2. CV+ (jackknife+/CV+ family, mapie) -- predicted interval vs true value</a:t>
            </a:r>
          </a:p>
        </rich>
      </tx>
    </title>
    <plotArea>
      <lineChart>
        <grouping val="standard"/>
        <ser>
          <idx val="0"/>
          <order val="0"/>
          <tx>
            <strRef>
              <f>'elastic_net'!D31</f>
            </strRef>
          </tx>
          <spPr>
            <a:ln w="10000">
              <a:solidFill>
                <a:srgbClr val="9DC3E6"/>
              </a:solidFill>
              <a:prstDash val="solid"/>
            </a:ln>
          </spPr>
          <marker>
            <symbol val="none"/>
            <spPr>
              <a:ln>
                <a:prstDash val="solid"/>
              </a:ln>
            </spPr>
          </marker>
          <cat>
            <numRef>
              <f>'elastic_net'!$A$32:$A$57</f>
            </numRef>
          </cat>
          <val>
            <numRef>
              <f>'elastic_net'!$D$32:$D$57</f>
            </numRef>
          </val>
          <smooth val="0"/>
        </ser>
        <ser>
          <idx val="1"/>
          <order val="1"/>
          <tx>
            <strRef>
              <f>'elastic_net'!E31</f>
            </strRef>
          </tx>
          <spPr>
            <a:ln w="10000">
              <a:solidFill>
                <a:srgbClr val="9DC3E6"/>
              </a:solidFill>
              <a:prstDash val="solid"/>
            </a:ln>
          </spPr>
          <marker>
            <symbol val="none"/>
            <spPr>
              <a:ln>
                <a:prstDash val="solid"/>
              </a:ln>
            </spPr>
          </marker>
          <cat>
            <numRef>
              <f>'elastic_net'!$A$32:$A$57</f>
            </numRef>
          </cat>
          <val>
            <numRef>
              <f>'elastic_net'!$E$32:$E$57</f>
            </numRef>
          </val>
          <smooth val="0"/>
        </ser>
        <ser>
          <idx val="2"/>
          <order val="2"/>
          <tx>
            <strRef>
              <f>'elastic_net'!C31</f>
            </strRef>
          </tx>
          <spPr>
            <a:ln w="15000">
              <a:solidFill>
                <a:srgbClr val="1F4E78"/>
              </a:solidFill>
              <a:prstDash val="solid"/>
            </a:ln>
          </spPr>
          <marker>
            <symbol val="none"/>
            <spPr>
              <a:ln>
                <a:prstDash val="solid"/>
              </a:ln>
            </spPr>
          </marker>
          <cat>
            <numRef>
              <f>'elastic_net'!$A$32:$A$57</f>
            </numRef>
          </cat>
          <val>
            <numRef>
              <f>'elastic_net'!$C$32:$C$57</f>
            </numRef>
          </val>
          <smooth val="0"/>
        </ser>
        <ser>
          <idx val="3"/>
          <order val="3"/>
          <tx>
            <strRef>
              <f>'elastic_net'!B31</f>
            </strRef>
          </tx>
          <spPr>
            <a:ln>
              <a:noFill/>
              <a:prstDash val="solid"/>
            </a:ln>
          </spPr>
          <marker>
            <symbol val="circle"/>
            <size val="5"/>
            <spPr>
              <a:solidFill>
                <a:srgbClr val="C00000"/>
              </a:solidFill>
              <a:ln>
                <a:solidFill>
                  <a:srgbClr val="C00000"/>
                </a:solidFill>
                <a:prstDash val="solid"/>
              </a:ln>
            </spPr>
          </marker>
          <cat>
            <numRef>
              <f>'elastic_net'!$A$32:$A$57</f>
            </numRef>
          </cat>
          <val>
            <numRef>
              <f>'elastic_net'!$B$32:$B$57</f>
            </numRef>
          </val>
        </ser>
        <axId val="10"/>
        <axId val="100"/>
      </lineChart>
      <catAx>
        <axId val="10"/>
        <scaling>
          <orientation val="minMax"/>
        </scaling>
        <axPos val="l"/>
        <title>
          <tx>
            <rich>
              <a:bodyPr/>
              <a:p>
                <a:pPr>
                  <a:defRPr/>
                </a:pPr>
                <a:r>
                  <a:t>Test point rank (sorted by predicted mean)</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8.xml><?xml version="1.0" encoding="utf-8"?>
<chartSpace xmlns:a="http://schemas.openxmlformats.org/drawingml/2006/main" xmlns="http://schemas.openxmlformats.org/drawingml/2006/chart">
  <chart>
    <title>
      <tx>
        <rich>
          <a:bodyPr/>
          <a:p>
            <a:pPr>
              <a:defRPr/>
            </a:pPr>
            <a:r>
              <a:t>Lasso: coverage per method (target 0.90)</a:t>
            </a:r>
          </a:p>
        </rich>
      </tx>
    </title>
    <plotArea>
      <barChart>
        <barDir val="col"/>
        <grouping val="clustered"/>
        <ser>
          <idx val="0"/>
          <order val="0"/>
          <tx>
            <strRef>
              <f>'lasso'!B4</f>
            </strRef>
          </tx>
          <spPr>
            <a:ln>
              <a:prstDash val="solid"/>
            </a:ln>
          </spPr>
          <cat>
            <numRef>
              <f>'lasso'!$A$5:$A$7</f>
            </numRef>
          </cat>
          <val>
            <numRef>
              <f>'lasso'!$B$5:$B$7</f>
            </numRef>
          </val>
        </ser>
        <gapWidth val="150"/>
        <axId val="10"/>
        <axId val="100"/>
      </barChart>
      <catAx>
        <axId val="10"/>
        <scaling>
          <orientation val="minMax"/>
        </scaling>
        <axPos val="l"/>
        <majorTickMark val="none"/>
        <minorTickMark val="none"/>
        <crossAx val="100"/>
        <lblOffset val="100"/>
      </catAx>
      <valAx>
        <axId val="100"/>
        <scaling>
          <orientation val="minMax"/>
          <max val="1.05"/>
          <min val="0"/>
        </scaling>
        <axPos val="l"/>
        <majorGridlines/>
        <majorTickMark val="none"/>
        <minorTickMark val="none"/>
        <crossAx val="10"/>
      </valAx>
    </plotArea>
    <legend>
      <legendPos val="r"/>
    </legend>
    <plotVisOnly val="1"/>
    <dispBlanksAs val="gap"/>
  </chart>
</chartSpace>
</file>

<file path=xl/charts/chart9.xml><?xml version="1.0" encoding="utf-8"?>
<chartSpace xmlns:a="http://schemas.openxmlformats.org/drawingml/2006/main" xmlns="http://schemas.openxmlformats.org/drawingml/2006/chart">
  <chart>
    <title>
      <tx>
        <rich>
          <a:bodyPr/>
          <a:p>
            <a:pPr>
              <a:defRPr/>
            </a:pPr>
            <a:r>
              <a:t>Lasso: 1. Split conformal (default) -- predicted interval vs true value</a:t>
            </a:r>
          </a:p>
        </rich>
      </tx>
    </title>
    <plotArea>
      <lineChart>
        <grouping val="standard"/>
        <ser>
          <idx val="0"/>
          <order val="0"/>
          <tx>
            <strRef>
              <f>'lasso'!D30</f>
            </strRef>
          </tx>
          <spPr>
            <a:ln w="10000">
              <a:solidFill>
                <a:srgbClr val="9DC3E6"/>
              </a:solidFill>
              <a:prstDash val="solid"/>
            </a:ln>
          </spPr>
          <marker>
            <symbol val="none"/>
            <spPr>
              <a:ln>
                <a:prstDash val="solid"/>
              </a:ln>
            </spPr>
          </marker>
          <cat>
            <numRef>
              <f>'lasso'!$A$31:$A$56</f>
            </numRef>
          </cat>
          <val>
            <numRef>
              <f>'lasso'!$D$31:$D$56</f>
            </numRef>
          </val>
          <smooth val="0"/>
        </ser>
        <ser>
          <idx val="1"/>
          <order val="1"/>
          <tx>
            <strRef>
              <f>'lasso'!E30</f>
            </strRef>
          </tx>
          <spPr>
            <a:ln w="10000">
              <a:solidFill>
                <a:srgbClr val="9DC3E6"/>
              </a:solidFill>
              <a:prstDash val="solid"/>
            </a:ln>
          </spPr>
          <marker>
            <symbol val="none"/>
            <spPr>
              <a:ln>
                <a:prstDash val="solid"/>
              </a:ln>
            </spPr>
          </marker>
          <cat>
            <numRef>
              <f>'lasso'!$A$31:$A$56</f>
            </numRef>
          </cat>
          <val>
            <numRef>
              <f>'lasso'!$E$31:$E$56</f>
            </numRef>
          </val>
          <smooth val="0"/>
        </ser>
        <ser>
          <idx val="2"/>
          <order val="2"/>
          <tx>
            <strRef>
              <f>'lasso'!C30</f>
            </strRef>
          </tx>
          <spPr>
            <a:ln w="15000">
              <a:solidFill>
                <a:srgbClr val="1F4E78"/>
              </a:solidFill>
              <a:prstDash val="solid"/>
            </a:ln>
          </spPr>
          <marker>
            <symbol val="none"/>
            <spPr>
              <a:ln>
                <a:prstDash val="solid"/>
              </a:ln>
            </spPr>
          </marker>
          <cat>
            <numRef>
              <f>'lasso'!$A$31:$A$56</f>
            </numRef>
          </cat>
          <val>
            <numRef>
              <f>'lasso'!$C$31:$C$56</f>
            </numRef>
          </val>
          <smooth val="0"/>
        </ser>
        <ser>
          <idx val="3"/>
          <order val="3"/>
          <tx>
            <strRef>
              <f>'lasso'!B30</f>
            </strRef>
          </tx>
          <spPr>
            <a:ln>
              <a:noFill/>
              <a:prstDash val="solid"/>
            </a:ln>
          </spPr>
          <marker>
            <symbol val="circle"/>
            <size val="5"/>
            <spPr>
              <a:solidFill>
                <a:srgbClr val="C00000"/>
              </a:solidFill>
              <a:ln>
                <a:solidFill>
                  <a:srgbClr val="C00000"/>
                </a:solidFill>
                <a:prstDash val="solid"/>
              </a:ln>
            </spPr>
          </marker>
          <cat>
            <numRef>
              <f>'lasso'!$A$31:$A$56</f>
            </numRef>
          </cat>
          <val>
            <numRef>
              <f>'lasso'!$B$31:$B$56</f>
            </numRef>
          </val>
        </ser>
        <axId val="10"/>
        <axId val="100"/>
      </lineChart>
      <catAx>
        <axId val="10"/>
        <scaling>
          <orientation val="minMax"/>
        </scaling>
        <axPos val="l"/>
        <title>
          <tx>
            <rich>
              <a:bodyPr/>
              <a:p>
                <a:pPr>
                  <a:defRPr/>
                </a:pPr>
                <a:r>
                  <a:t>Test point rank (sorted by predicted mean)</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0.xml><?xml version="1.0" encoding="utf-8"?>
<chartSpace xmlns:a="http://schemas.openxmlformats.org/drawingml/2006/main" xmlns="http://schemas.openxmlformats.org/drawingml/2006/chart">
  <chart>
    <title>
      <tx>
        <rich>
          <a:bodyPr/>
          <a:p>
            <a:pPr>
              <a:defRPr/>
            </a:pPr>
            <a:r>
              <a:t>SVR (RBF): coverage per method (target 0.90)</a:t>
            </a:r>
          </a:p>
        </rich>
      </tx>
    </title>
    <plotArea>
      <barChart>
        <barDir val="col"/>
        <grouping val="clustered"/>
        <ser>
          <idx val="0"/>
          <order val="0"/>
          <tx>
            <strRef>
              <f>'svr_rbf'!B5</f>
            </strRef>
          </tx>
          <spPr>
            <a:ln>
              <a:prstDash val="solid"/>
            </a:ln>
          </spPr>
          <cat>
            <numRef>
              <f>'svr_rbf'!$A$6:$A$8</f>
            </numRef>
          </cat>
          <val>
            <numRef>
              <f>'svr_rbf'!$B$6:$B$8</f>
            </numRef>
          </val>
        </ser>
        <gapWidth val="150"/>
        <axId val="10"/>
        <axId val="100"/>
      </barChart>
      <catAx>
        <axId val="10"/>
        <scaling>
          <orientation val="minMax"/>
        </scaling>
        <axPos val="l"/>
        <majorTickMark val="none"/>
        <minorTickMark val="none"/>
        <crossAx val="100"/>
        <lblOffset val="100"/>
      </catAx>
      <valAx>
        <axId val="100"/>
        <scaling>
          <orientation val="minMax"/>
          <max val="1.05"/>
          <min val="0"/>
        </scaling>
        <axPos val="l"/>
        <majorGridlines/>
        <majorTickMark val="none"/>
        <minorTickMark val="none"/>
        <crossAx val="10"/>
      </valAx>
    </plotArea>
    <legend>
      <legendPos val="r"/>
    </legend>
    <plotVisOnly val="1"/>
    <dispBlanksAs val="gap"/>
  </chart>
</chartSpace>
</file>

<file path=xl/charts/chart11.xml><?xml version="1.0" encoding="utf-8"?>
<chartSpace xmlns:a="http://schemas.openxmlformats.org/drawingml/2006/main" xmlns="http://schemas.openxmlformats.org/drawingml/2006/chart">
  <chart>
    <title>
      <tx>
        <rich>
          <a:bodyPr/>
          <a:p>
            <a:pPr>
              <a:defRPr/>
            </a:pPr>
            <a:r>
              <a:t>SVR (RBF): 1. Split conformal (default) -- predicted interval vs true value</a:t>
            </a:r>
          </a:p>
        </rich>
      </tx>
    </title>
    <plotArea>
      <lineChart>
        <grouping val="standard"/>
        <ser>
          <idx val="0"/>
          <order val="0"/>
          <tx>
            <strRef>
              <f>'svr_rbf'!D33</f>
            </strRef>
          </tx>
          <spPr>
            <a:ln w="10000">
              <a:solidFill>
                <a:srgbClr val="9DC3E6"/>
              </a:solidFill>
              <a:prstDash val="solid"/>
            </a:ln>
          </spPr>
          <marker>
            <symbol val="none"/>
            <spPr>
              <a:ln>
                <a:prstDash val="solid"/>
              </a:ln>
            </spPr>
          </marker>
          <cat>
            <numRef>
              <f>'svr_rbf'!$A$34:$A$59</f>
            </numRef>
          </cat>
          <val>
            <numRef>
              <f>'svr_rbf'!$D$34:$D$59</f>
            </numRef>
          </val>
          <smooth val="0"/>
        </ser>
        <ser>
          <idx val="1"/>
          <order val="1"/>
          <tx>
            <strRef>
              <f>'svr_rbf'!E33</f>
            </strRef>
          </tx>
          <spPr>
            <a:ln w="10000">
              <a:solidFill>
                <a:srgbClr val="9DC3E6"/>
              </a:solidFill>
              <a:prstDash val="solid"/>
            </a:ln>
          </spPr>
          <marker>
            <symbol val="none"/>
            <spPr>
              <a:ln>
                <a:prstDash val="solid"/>
              </a:ln>
            </spPr>
          </marker>
          <cat>
            <numRef>
              <f>'svr_rbf'!$A$34:$A$59</f>
            </numRef>
          </cat>
          <val>
            <numRef>
              <f>'svr_rbf'!$E$34:$E$59</f>
            </numRef>
          </val>
          <smooth val="0"/>
        </ser>
        <ser>
          <idx val="2"/>
          <order val="2"/>
          <tx>
            <strRef>
              <f>'svr_rbf'!C33</f>
            </strRef>
          </tx>
          <spPr>
            <a:ln w="15000">
              <a:solidFill>
                <a:srgbClr val="1F4E78"/>
              </a:solidFill>
              <a:prstDash val="solid"/>
            </a:ln>
          </spPr>
          <marker>
            <symbol val="none"/>
            <spPr>
              <a:ln>
                <a:prstDash val="solid"/>
              </a:ln>
            </spPr>
          </marker>
          <cat>
            <numRef>
              <f>'svr_rbf'!$A$34:$A$59</f>
            </numRef>
          </cat>
          <val>
            <numRef>
              <f>'svr_rbf'!$C$34:$C$59</f>
            </numRef>
          </val>
          <smooth val="0"/>
        </ser>
        <ser>
          <idx val="3"/>
          <order val="3"/>
          <tx>
            <strRef>
              <f>'svr_rbf'!B33</f>
            </strRef>
          </tx>
          <spPr>
            <a:ln>
              <a:noFill/>
              <a:prstDash val="solid"/>
            </a:ln>
          </spPr>
          <marker>
            <symbol val="circle"/>
            <size val="5"/>
            <spPr>
              <a:solidFill>
                <a:srgbClr val="C00000"/>
              </a:solidFill>
              <a:ln>
                <a:solidFill>
                  <a:srgbClr val="C00000"/>
                </a:solidFill>
                <a:prstDash val="solid"/>
              </a:ln>
            </spPr>
          </marker>
          <cat>
            <numRef>
              <f>'svr_rbf'!$A$34:$A$59</f>
            </numRef>
          </cat>
          <val>
            <numRef>
              <f>'svr_rbf'!$B$34:$B$59</f>
            </numRef>
          </val>
        </ser>
        <axId val="10"/>
        <axId val="100"/>
      </lineChart>
      <catAx>
        <axId val="10"/>
        <scaling>
          <orientation val="minMax"/>
        </scaling>
        <axPos val="l"/>
        <title>
          <tx>
            <rich>
              <a:bodyPr/>
              <a:p>
                <a:pPr>
                  <a:defRPr/>
                </a:pPr>
                <a:r>
                  <a:t>Test point rank (sorted by predicted mean)</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2.xml><?xml version="1.0" encoding="utf-8"?>
<chartSpace xmlns:a="http://schemas.openxmlformats.org/drawingml/2006/main" xmlns="http://schemas.openxmlformats.org/drawingml/2006/chart">
  <chart>
    <title>
      <tx>
        <rich>
          <a:bodyPr/>
          <a:p>
            <a:pPr>
              <a:defRPr/>
            </a:pPr>
            <a:r>
              <a:t>GradientBoosting: coverage per method (target 0.90)</a:t>
            </a:r>
          </a:p>
        </rich>
      </tx>
    </title>
    <plotArea>
      <barChart>
        <barDir val="col"/>
        <grouping val="clustered"/>
        <ser>
          <idx val="0"/>
          <order val="0"/>
          <tx>
            <strRef>
              <f>'gradient_boosting'!B5</f>
            </strRef>
          </tx>
          <spPr>
            <a:ln>
              <a:prstDash val="solid"/>
            </a:ln>
          </spPr>
          <cat>
            <numRef>
              <f>'gradient_boosting'!$A$6:$A$8</f>
            </numRef>
          </cat>
          <val>
            <numRef>
              <f>'gradient_boosting'!$B$6:$B$8</f>
            </numRef>
          </val>
        </ser>
        <gapWidth val="150"/>
        <axId val="10"/>
        <axId val="100"/>
      </barChart>
      <catAx>
        <axId val="10"/>
        <scaling>
          <orientation val="minMax"/>
        </scaling>
        <axPos val="l"/>
        <majorTickMark val="none"/>
        <minorTickMark val="none"/>
        <crossAx val="100"/>
        <lblOffset val="100"/>
      </catAx>
      <valAx>
        <axId val="100"/>
        <scaling>
          <orientation val="minMax"/>
          <max val="1.05"/>
          <min val="0"/>
        </scaling>
        <axPos val="l"/>
        <majorGridlines/>
        <majorTickMark val="none"/>
        <minorTickMark val="none"/>
        <crossAx val="10"/>
      </valAx>
    </plotArea>
    <legend>
      <legendPos val="r"/>
    </legend>
    <plotVisOnly val="1"/>
    <dispBlanksAs val="gap"/>
  </chart>
</chartSpace>
</file>

<file path=xl/charts/chart13.xml><?xml version="1.0" encoding="utf-8"?>
<chartSpace xmlns:a="http://schemas.openxmlformats.org/drawingml/2006/main" xmlns="http://schemas.openxmlformats.org/drawingml/2006/chart">
  <chart>
    <title>
      <tx>
        <rich>
          <a:bodyPr/>
          <a:p>
            <a:pPr>
              <a:defRPr/>
            </a:pPr>
            <a:r>
              <a:t>GradientBoosting: 2. CV+ (jackknife+/CV+ family, mapie) -- predicted interval vs true value</a:t>
            </a:r>
          </a:p>
        </rich>
      </tx>
    </title>
    <plotArea>
      <lineChart>
        <grouping val="standard"/>
        <ser>
          <idx val="0"/>
          <order val="0"/>
          <tx>
            <strRef>
              <f>'gradient_boosting'!D31</f>
            </strRef>
          </tx>
          <spPr>
            <a:ln w="10000">
              <a:solidFill>
                <a:srgbClr val="9DC3E6"/>
              </a:solidFill>
              <a:prstDash val="solid"/>
            </a:ln>
          </spPr>
          <marker>
            <symbol val="none"/>
            <spPr>
              <a:ln>
                <a:prstDash val="solid"/>
              </a:ln>
            </spPr>
          </marker>
          <cat>
            <numRef>
              <f>'gradient_boosting'!$A$32:$A$57</f>
            </numRef>
          </cat>
          <val>
            <numRef>
              <f>'gradient_boosting'!$D$32:$D$57</f>
            </numRef>
          </val>
          <smooth val="0"/>
        </ser>
        <ser>
          <idx val="1"/>
          <order val="1"/>
          <tx>
            <strRef>
              <f>'gradient_boosting'!E31</f>
            </strRef>
          </tx>
          <spPr>
            <a:ln w="10000">
              <a:solidFill>
                <a:srgbClr val="9DC3E6"/>
              </a:solidFill>
              <a:prstDash val="solid"/>
            </a:ln>
          </spPr>
          <marker>
            <symbol val="none"/>
            <spPr>
              <a:ln>
                <a:prstDash val="solid"/>
              </a:ln>
            </spPr>
          </marker>
          <cat>
            <numRef>
              <f>'gradient_boosting'!$A$32:$A$57</f>
            </numRef>
          </cat>
          <val>
            <numRef>
              <f>'gradient_boosting'!$E$32:$E$57</f>
            </numRef>
          </val>
          <smooth val="0"/>
        </ser>
        <ser>
          <idx val="2"/>
          <order val="2"/>
          <tx>
            <strRef>
              <f>'gradient_boosting'!C31</f>
            </strRef>
          </tx>
          <spPr>
            <a:ln w="15000">
              <a:solidFill>
                <a:srgbClr val="1F4E78"/>
              </a:solidFill>
              <a:prstDash val="solid"/>
            </a:ln>
          </spPr>
          <marker>
            <symbol val="none"/>
            <spPr>
              <a:ln>
                <a:prstDash val="solid"/>
              </a:ln>
            </spPr>
          </marker>
          <cat>
            <numRef>
              <f>'gradient_boosting'!$A$32:$A$57</f>
            </numRef>
          </cat>
          <val>
            <numRef>
              <f>'gradient_boosting'!$C$32:$C$57</f>
            </numRef>
          </val>
          <smooth val="0"/>
        </ser>
        <ser>
          <idx val="3"/>
          <order val="3"/>
          <tx>
            <strRef>
              <f>'gradient_boosting'!B31</f>
            </strRef>
          </tx>
          <spPr>
            <a:ln>
              <a:noFill/>
              <a:prstDash val="solid"/>
            </a:ln>
          </spPr>
          <marker>
            <symbol val="circle"/>
            <size val="5"/>
            <spPr>
              <a:solidFill>
                <a:srgbClr val="C00000"/>
              </a:solidFill>
              <a:ln>
                <a:solidFill>
                  <a:srgbClr val="C00000"/>
                </a:solidFill>
                <a:prstDash val="solid"/>
              </a:ln>
            </spPr>
          </marker>
          <cat>
            <numRef>
              <f>'gradient_boosting'!$A$32:$A$57</f>
            </numRef>
          </cat>
          <val>
            <numRef>
              <f>'gradient_boosting'!$B$32:$B$57</f>
            </numRef>
          </val>
        </ser>
        <axId val="10"/>
        <axId val="100"/>
      </lineChart>
      <catAx>
        <axId val="10"/>
        <scaling>
          <orientation val="minMax"/>
        </scaling>
        <axPos val="l"/>
        <title>
          <tx>
            <rich>
              <a:bodyPr/>
              <a:p>
                <a:pPr>
                  <a:defRPr/>
                </a:pPr>
                <a:r>
                  <a:t>Test point rank (sorted by predicted mean)</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 Type="http://schemas.openxmlformats.org/officeDocument/2006/relationships/chart" Target="/xl/charts/chart3.xml" Id="rId2" /></Relationships>
</file>

<file path=xl/drawings/_rels/drawing3.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s>
</file>

<file path=xl/drawings/_rels/drawing4.xml.rels><Relationships xmlns="http://schemas.openxmlformats.org/package/2006/relationships"><Relationship Type="http://schemas.openxmlformats.org/officeDocument/2006/relationships/chart" Target="/xl/charts/chart6.xml" Id="rId1" /><Relationship Type="http://schemas.openxmlformats.org/officeDocument/2006/relationships/chart" Target="/xl/charts/chart7.xml" Id="rId2" /></Relationships>
</file>

<file path=xl/drawings/_rels/drawing5.xml.rels><Relationships xmlns="http://schemas.openxmlformats.org/package/2006/relationships"><Relationship Type="http://schemas.openxmlformats.org/officeDocument/2006/relationships/chart" Target="/xl/charts/chart8.xml" Id="rId1" /><Relationship Type="http://schemas.openxmlformats.org/officeDocument/2006/relationships/chart" Target="/xl/charts/chart9.xml" Id="rId2" /></Relationships>
</file>

<file path=xl/drawings/_rels/drawing6.xml.rels><Relationships xmlns="http://schemas.openxmlformats.org/package/2006/relationships"><Relationship Type="http://schemas.openxmlformats.org/officeDocument/2006/relationships/chart" Target="/xl/charts/chart10.xml" Id="rId1" /><Relationship Type="http://schemas.openxmlformats.org/officeDocument/2006/relationships/chart" Target="/xl/charts/chart11.xml" Id="rId2" /></Relationships>
</file>

<file path=xl/drawings/_rels/drawing7.xml.rels><Relationships xmlns="http://schemas.openxmlformats.org/package/2006/relationships"><Relationship Type="http://schemas.openxmlformats.org/officeDocument/2006/relationships/chart" Target="/xl/charts/chart12.xml" Id="rId1" /><Relationship Type="http://schemas.openxmlformats.org/officeDocument/2006/relationships/chart" Target="/xl/charts/chart13.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25</row>
      <rowOff>0</rowOff>
    </from>
    <ext cx="7200000" cy="32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11</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3</row>
      <rowOff>0</rowOff>
    </from>
    <ext cx="9360000" cy="396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11</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3</row>
      <rowOff>0</rowOff>
    </from>
    <ext cx="9360000" cy="396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11</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3</row>
      <rowOff>0</rowOff>
    </from>
    <ext cx="9360000" cy="396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10</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3</row>
      <rowOff>0</rowOff>
    </from>
    <ext cx="9360000" cy="396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13</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3</row>
      <rowOff>0</rowOff>
    </from>
    <ext cx="9360000" cy="396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11</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3</row>
      <rowOff>0</rowOff>
    </from>
    <ext cx="9360000" cy="396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outlinePr summaryBelow="1" summaryRight="1"/>
    <pageSetUpPr/>
  </sheetPr>
  <dimension ref="A1:I23"/>
  <sheetViews>
    <sheetView showGridLines="0" workbookViewId="0">
      <pane ySplit="6" topLeftCell="A7" activePane="bottomLeft" state="frozen"/>
      <selection pane="bottomLeft" activeCell="A1" sqref="A1"/>
    </sheetView>
  </sheetViews>
  <sheetFormatPr baseColWidth="8" defaultRowHeight="15"/>
  <cols>
    <col width="18" customWidth="1" min="1" max="1"/>
    <col width="16" customWidth="1" min="2" max="2"/>
    <col width="32" customWidth="1" min="3" max="3"/>
    <col width="12" customWidth="1" min="4" max="4"/>
    <col width="16" customWidth="1" min="5" max="5"/>
    <col width="14" customWidth="1" min="6" max="6"/>
    <col width="12" customWidth="1" min="7" max="7"/>
    <col width="10" customWidth="1" min="8" max="8"/>
    <col width="60" customWidth="1" min="9" max="9"/>
  </cols>
  <sheetData>
    <row r="1">
      <c r="A1" s="1" t="inlineStr">
        <is>
          <t>UQ Method Benchmark -- Chosen Method Per Model Family</t>
        </is>
      </c>
    </row>
    <row r="2">
      <c r="A2" s="2" t="inlineStr">
        <is>
          <t>Mentor's ask (29-Aug): compare candidate uncertainty methods per model family on empirical coverage, mean interval width, and calibration; fix one method per family. Held-out 80/20 split (seed=42), same methodology as UQ_Prediction_Report.xlsx.</t>
        </is>
      </c>
    </row>
    <row r="3">
      <c r="A3" s="2" t="inlineStr">
        <is>
          <t>KPI per family chosen to avoid re-using TT_OB_Agri / WT_OB_A_GB-Dub / WT_OB_A_GB-Ross, already covered elsewhere in the report (user's choice, 29-Aug).</t>
        </is>
      </c>
    </row>
    <row r="4" ht="45" customHeight="1">
      <c r="A4" s="3" t="inlineStr">
        <is>
          <t>IMPORTANT (mentor feedback, 1-Sep): n_test=26 for every family -- coverage can only move in ~1/26 (3.8pp) steps, so two numbers like 92.3% and 96.2% are ONE point of difference, not a strong signal. The 95% Wilson CI column makes this explicit -- read every coverage number together with its CI, not in isolation. See the 'Methods: Considered vs Tested' sheet for which candidate methods from the original research list were actually implemented.</t>
        </is>
      </c>
    </row>
    <row r="6">
      <c r="A6" s="4" t="inlineStr">
        <is>
          <t>Model Family</t>
        </is>
      </c>
      <c r="B6" s="4" t="inlineStr">
        <is>
          <t>KPI Used</t>
        </is>
      </c>
      <c r="C6" s="4" t="inlineStr">
        <is>
          <t>Chosen Method</t>
        </is>
      </c>
      <c r="D6" s="4" t="inlineStr">
        <is>
          <t>Coverage</t>
        </is>
      </c>
      <c r="E6" s="4" t="inlineStr">
        <is>
          <t>95% Wilson CI</t>
        </is>
      </c>
      <c r="F6" s="4" t="inlineStr">
        <is>
          <t>Nominal Target</t>
        </is>
      </c>
      <c r="G6" s="4" t="inlineStr">
        <is>
          <t>Mean Width</t>
        </is>
      </c>
      <c r="H6" s="4" t="inlineStr">
        <is>
          <t>RMSE</t>
        </is>
      </c>
      <c r="I6" s="4" t="inlineStr">
        <is>
          <t>Why</t>
        </is>
      </c>
    </row>
    <row r="7" ht="60" customHeight="1">
      <c r="A7" s="5" t="inlineStr">
        <is>
          <t>GPR (Matern)</t>
        </is>
      </c>
      <c r="B7" s="5" t="inlineStr">
        <is>
          <t>WT_OB_LB</t>
        </is>
      </c>
      <c r="C7" s="5" t="inlineStr">
        <is>
          <t>2. Conformalized GPR (split conformal)</t>
        </is>
      </c>
      <c r="D7" s="5" t="n">
        <v>0.923</v>
      </c>
      <c r="E7" s="5" t="inlineStr">
        <is>
          <t>[0.759, 0.979]</t>
        </is>
      </c>
      <c r="F7" s="5" t="n">
        <v>0.9</v>
      </c>
      <c r="G7" s="5" t="n">
        <v>0.7060999999999999</v>
      </c>
      <c r="H7" s="5" t="n">
        <v>0.203</v>
      </c>
      <c r="I7" s="6" t="inlineStr">
        <is>
          <t>Conformalized GPR lands closest to the 90% target (92% vs native SD's 96%) at essentially the same width (0.706 vs 0.706) -- native is a safe second choice. Bootstrap ensemble rejected outright: 73% coverage, badly overconfident.</t>
        </is>
      </c>
    </row>
    <row r="8" ht="60" customHeight="1">
      <c r="A8" s="5" t="inlineStr">
        <is>
          <t>ExtraTrees</t>
        </is>
      </c>
      <c r="B8" s="5" t="inlineStr">
        <is>
          <t>TT_OB_LB</t>
        </is>
      </c>
      <c r="C8" s="5" t="inlineStr">
        <is>
          <t>1. Native ensemble SD (bagging variance)</t>
        </is>
      </c>
      <c r="D8" s="5" t="n">
        <v>0.962</v>
      </c>
      <c r="E8" s="5" t="inlineStr">
        <is>
          <t>[0.811, 0.993]</t>
        </is>
      </c>
      <c r="F8" s="5" t="n">
        <v>0.9</v>
      </c>
      <c r="G8" s="5" t="n">
        <v>0.7794</v>
      </c>
      <c r="H8" s="5" t="n">
        <v>0.1888</v>
      </c>
      <c r="I8" s="6" t="inlineStr">
        <is>
          <t>Native ensemble SD wins outright: closest coverage to target (96%) AND by far the tightest interval (0.78 vs 1.15-1.24 for the alternatives) -- confirms the existing default is the right choice for this family, not just convenient.</t>
        </is>
      </c>
    </row>
    <row r="9" ht="60" customHeight="1">
      <c r="A9" s="5" t="inlineStr">
        <is>
          <t>ElasticNet</t>
        </is>
      </c>
      <c r="B9" s="5" t="inlineStr">
        <is>
          <t>Uti_Cus_R</t>
        </is>
      </c>
      <c r="C9" s="5" t="inlineStr">
        <is>
          <t>2. CV+ (jackknife+/CV+ family, mapie)</t>
        </is>
      </c>
      <c r="D9" s="5" t="n">
        <v>0.923</v>
      </c>
      <c r="E9" s="5" t="inlineStr">
        <is>
          <t>[0.759, 0.979]</t>
        </is>
      </c>
      <c r="F9" s="5" t="n">
        <v>0.9</v>
      </c>
      <c r="G9" s="5" t="n">
        <v>0.1329</v>
      </c>
      <c r="H9" s="5" t="n">
        <v>0.0548</v>
      </c>
      <c r="I9" s="6" t="inlineStr">
        <is>
          <t>CV+ hits coverage much closer to target (92% vs split conformal's 85%) at essentially identical width. Bootstrap ensemble rejected outright: only 31% coverage -- dangerously overconfident, the worst result in the whole benchmark.</t>
        </is>
      </c>
    </row>
    <row r="10" ht="60" customHeight="1">
      <c r="A10" s="5" t="inlineStr">
        <is>
          <t>Lasso</t>
        </is>
      </c>
      <c r="B10" s="5" t="inlineStr">
        <is>
          <t>WT_OB_A_GB-Dub</t>
        </is>
      </c>
      <c r="C10" s="5" t="inlineStr">
        <is>
          <t>1. Split conformal (default)</t>
        </is>
      </c>
      <c r="D10" s="5" t="n">
        <v>0.962</v>
      </c>
      <c r="E10" s="5" t="inlineStr">
        <is>
          <t>[0.811, 0.993]</t>
        </is>
      </c>
      <c r="F10" s="5" t="n">
        <v>0.9</v>
      </c>
      <c r="G10" s="5" t="n">
        <v>0.6024</v>
      </c>
      <c r="H10" s="5" t="n">
        <v>0.1539</v>
      </c>
      <c r="I10" s="6" t="inlineStr">
        <is>
          <t>Split conformal matches CV+'s coverage (96%) but is notably tighter (0.60 vs 0.70). Bootstrap ensemble rejected: 62% coverage, well short of the 90% target.</t>
        </is>
      </c>
    </row>
    <row r="11" ht="60" customHeight="1">
      <c r="A11" s="5" t="inlineStr">
        <is>
          <t>SVR (RBF)</t>
        </is>
      </c>
      <c r="B11" s="5" t="inlineStr">
        <is>
          <t>WT_IB_NA_Ross</t>
        </is>
      </c>
      <c r="C11" s="5" t="inlineStr">
        <is>
          <t>1. Split conformal (default)</t>
        </is>
      </c>
      <c r="D11" s="5" t="n">
        <v>0.923</v>
      </c>
      <c r="E11" s="5" t="inlineStr">
        <is>
          <t>[0.759, 0.979]</t>
        </is>
      </c>
      <c r="F11" s="5" t="n">
        <v>0.9</v>
      </c>
      <c r="G11" s="5" t="n">
        <v>5.4353</v>
      </c>
      <c r="H11" s="5" t="n">
        <v>14.9867</v>
      </c>
      <c r="I11" s="6" t="inlineStr">
        <is>
          <t>Close call, stated plainly: split conformal safely meets target (92%) but is wider (5.44); CV+ is much tighter (3.40) but undershoots (85%). With only 26 held-out points the 85%-vs-92% gap is close to sampling noise -- split conformal chosen as the safer default until this can be re-checked with more data. Bootstrap ensemble rejected: 54% coverage.</t>
        </is>
      </c>
    </row>
    <row r="12" ht="60" customHeight="1">
      <c r="A12" s="5" t="inlineStr">
        <is>
          <t>GradientBoosting</t>
        </is>
      </c>
      <c r="B12" s="5" t="inlineStr">
        <is>
          <t>TT_IB_LB</t>
        </is>
      </c>
      <c r="C12" s="5" t="inlineStr">
        <is>
          <t>2. CV+ (jackknife+/CV+ family, mapie)</t>
        </is>
      </c>
      <c r="D12" s="5" t="n">
        <v>0.962</v>
      </c>
      <c r="E12" s="5" t="inlineStr">
        <is>
          <t>[0.811, 0.993]</t>
        </is>
      </c>
      <c r="F12" s="5" t="n">
        <v>0.9</v>
      </c>
      <c r="G12" s="5" t="n">
        <v>113.639</v>
      </c>
      <c r="H12" s="5" t="n">
        <v>22.4497</v>
      </c>
      <c r="I12" s="6" t="inlineStr">
        <is>
          <t>CV+ matches split conformal's coverage (96%) with a tighter interval (114 vs 122) AND a notably better point prediction (RMSE 22.4 vs 31.2). Native quantile regression rejected: only 58% coverage, badly overconfident.</t>
        </is>
      </c>
    </row>
    <row r="14">
      <c r="A14" s="2" t="inlineStr">
        <is>
          <t>Notable pattern across all 6 families: the hand-rolled bootstrap ensemble method lost every time it was tested (coverage 73%, 31%, 62%, 54% against a 90% target) -- rejected outright, not a close call, in every family it was tried.</t>
        </is>
      </c>
    </row>
    <row r="15">
      <c r="A15" s="2" t="inlineStr">
        <is>
          <t>SVR (RBF): interval width (5.44) looks inconsistent with RMSE (14.99) at first glance -- resolved on the svr_rbf sheet. One extreme outlier (the KPI's own historical maximum, 82.0 vs. a training mean of 3.7) inflates RMSE almost entirely on its own; the quantile-based interval width is far more robust to that single point. Not a bug -- see that sheet's note.</t>
        </is>
      </c>
    </row>
    <row r="17">
      <c r="A17" t="inlineStr">
        <is>
          <t>Family</t>
        </is>
      </c>
      <c r="B17" t="inlineStr">
        <is>
          <t>Chosen Method Coverage</t>
        </is>
      </c>
      <c r="C17" t="inlineStr">
        <is>
          <t>Nominal Target (0.90)</t>
        </is>
      </c>
    </row>
    <row r="18">
      <c r="A18" t="inlineStr">
        <is>
          <t>GPR (Matern)</t>
        </is>
      </c>
      <c r="B18" t="n">
        <v>0.923</v>
      </c>
      <c r="C18" t="n">
        <v>0.9</v>
      </c>
    </row>
    <row r="19">
      <c r="A19" t="inlineStr">
        <is>
          <t>ExtraTrees</t>
        </is>
      </c>
      <c r="B19" t="n">
        <v>0.962</v>
      </c>
      <c r="C19" t="n">
        <v>0.9</v>
      </c>
    </row>
    <row r="20">
      <c r="A20" t="inlineStr">
        <is>
          <t>ElasticNet</t>
        </is>
      </c>
      <c r="B20" t="n">
        <v>0.923</v>
      </c>
      <c r="C20" t="n">
        <v>0.9</v>
      </c>
    </row>
    <row r="21">
      <c r="A21" t="inlineStr">
        <is>
          <t>Lasso</t>
        </is>
      </c>
      <c r="B21" t="n">
        <v>0.962</v>
      </c>
      <c r="C21" t="n">
        <v>0.9</v>
      </c>
    </row>
    <row r="22">
      <c r="A22" t="inlineStr">
        <is>
          <t>SVR (RBF)</t>
        </is>
      </c>
      <c r="B22" t="n">
        <v>0.923</v>
      </c>
      <c r="C22" t="n">
        <v>0.9</v>
      </c>
    </row>
    <row r="23">
      <c r="A23" t="inlineStr">
        <is>
          <t>GradientBoosting</t>
        </is>
      </c>
      <c r="B23" t="n">
        <v>0.962</v>
      </c>
      <c r="C23" t="n">
        <v>0.9</v>
      </c>
    </row>
  </sheetData>
  <mergeCells count="1">
    <mergeCell ref="A4:H4"/>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57"/>
  <sheetViews>
    <sheetView showGridLines="0" workbookViewId="0">
      <selection activeCell="A1" sqref="A1"/>
    </sheetView>
  </sheetViews>
  <sheetFormatPr baseColWidth="8" defaultRowHeight="15"/>
  <cols>
    <col width="42" customWidth="1" min="1" max="1"/>
    <col width="12" customWidth="1" min="2" max="2"/>
    <col width="14" customWidth="1" min="3" max="3"/>
    <col width="12" customWidth="1" min="4" max="4"/>
    <col width="14" customWidth="1" min="5" max="5"/>
    <col width="10" customWidth="1" min="6" max="6"/>
    <col width="12" customWidth="1" min="7" max="7"/>
  </cols>
  <sheetData>
    <row r="1">
      <c r="A1" s="1" t="inlineStr">
        <is>
          <t>GPR (Matern) -- candidate uncertainty methods on WT_OB_LB</t>
        </is>
      </c>
    </row>
    <row r="2">
      <c r="A2" s="2" t="inlineStr">
        <is>
          <t>n_train=103, n_test=26 (held out, same 80/20 split as every other family)</t>
        </is>
      </c>
    </row>
    <row r="3" ht="30" customHeight="1">
      <c r="A3" s="3" t="inlineStr">
        <is>
          <t>Small-sample caveat (mentor, 1-Sep): n_test=26 means coverage moves in ~3.8pp steps -- the 95% Wilson CI column shows how much overlap there really is between these 3 methods before treating small gaps as decisive.</t>
        </is>
      </c>
    </row>
    <row r="4" ht="45" customHeight="1">
      <c r="A4" s="3" t="inlineStr">
        <is>
          <t>Considered (mentor's email) but NOT tested here: Rigorous GP bounds (Fiedler et al. 2021, RKHS-norm-based) -- no library implementation available; the method itself is a bespoke research construction, not a configurable option of an existing package.</t>
        </is>
      </c>
    </row>
    <row r="5">
      <c r="A5" s="7" t="inlineStr">
        <is>
          <t>Method</t>
        </is>
      </c>
      <c r="B5" s="7" t="inlineStr">
        <is>
          <t>Coverage</t>
        </is>
      </c>
      <c r="C5" s="7" t="inlineStr">
        <is>
          <t>95% Wilson CI</t>
        </is>
      </c>
      <c r="D5" s="7" t="inlineStr">
        <is>
          <t>Nominal Target</t>
        </is>
      </c>
      <c r="E5" s="7" t="inlineStr">
        <is>
          <t>Mean Width</t>
        </is>
      </c>
      <c r="F5" s="7" t="inlineStr">
        <is>
          <t>Median Width</t>
        </is>
      </c>
      <c r="G5" s="7" t="inlineStr">
        <is>
          <t>RMSE</t>
        </is>
      </c>
      <c r="H5" s="7" t="inlineStr">
        <is>
          <t>Verdict</t>
        </is>
      </c>
    </row>
    <row r="6">
      <c r="A6" s="8" t="inlineStr">
        <is>
          <t>1. Native posterior SD</t>
        </is>
      </c>
      <c r="B6" s="8" t="n">
        <v>0.962</v>
      </c>
      <c r="C6" s="8" t="inlineStr">
        <is>
          <t>[0.811, 0.993]</t>
        </is>
      </c>
      <c r="D6" s="8" t="n">
        <v>0.9</v>
      </c>
      <c r="E6" s="8" t="n">
        <v>0.7055</v>
      </c>
      <c r="F6" s="8" t="n">
        <v>0.7104</v>
      </c>
      <c r="G6" s="8" t="n">
        <v>0.17</v>
      </c>
      <c r="H6" s="8" t="inlineStr">
        <is>
          <t>Not chosen</t>
        </is>
      </c>
    </row>
    <row r="7">
      <c r="A7" s="9" t="inlineStr">
        <is>
          <t>2. Conformalized GPR (split conformal)</t>
        </is>
      </c>
      <c r="B7" s="9" t="n">
        <v>0.923</v>
      </c>
      <c r="C7" s="9" t="inlineStr">
        <is>
          <t>[0.759, 0.979]</t>
        </is>
      </c>
      <c r="D7" s="9" t="n">
        <v>0.9</v>
      </c>
      <c r="E7" s="9" t="n">
        <v>0.7060999999999999</v>
      </c>
      <c r="F7" s="9" t="n">
        <v>0.7060999999999999</v>
      </c>
      <c r="G7" s="9" t="n">
        <v>0.203</v>
      </c>
      <c r="H7" s="9" t="inlineStr">
        <is>
          <t>CHOSEN</t>
        </is>
      </c>
    </row>
    <row r="8">
      <c r="A8" s="10" t="inlineStr">
        <is>
          <t>3. Bootstrap ensemble</t>
        </is>
      </c>
      <c r="B8" s="10" t="n">
        <v>0.731</v>
      </c>
      <c r="C8" s="10" t="inlineStr">
        <is>
          <t>[0.539, 0.863]</t>
        </is>
      </c>
      <c r="D8" s="10" t="n">
        <v>0.9</v>
      </c>
      <c r="E8" s="10" t="n">
        <v>0.3591</v>
      </c>
      <c r="F8" s="10" t="n">
        <v>0.3639</v>
      </c>
      <c r="G8" s="10" t="n">
        <v>0.1698</v>
      </c>
      <c r="H8" s="10" t="inlineStr">
        <is>
          <t>Rejected</t>
        </is>
      </c>
    </row>
    <row r="10" ht="45" customHeight="1">
      <c r="A10" s="3" t="inlineStr">
        <is>
          <t>Why: Conformalized GPR lands closest to the 90% target (92% vs native SD's 96%) at essentially the same width (0.706 vs 0.706) -- native is a safe second choice. Bootstrap ensemble rejected outright: 73% coverage, badly overconfident.</t>
        </is>
      </c>
    </row>
    <row r="30">
      <c r="A30" s="2" t="inlineStr">
        <is>
          <t>Chosen method detail: 2. Conformalized GPR (split conformal) (sorted by predicted mean)</t>
        </is>
      </c>
    </row>
    <row r="31">
      <c r="A31" s="7" t="inlineStr">
        <is>
          <t>Rank</t>
        </is>
      </c>
      <c r="B31" s="7" t="inlineStr">
        <is>
          <t>True Value</t>
        </is>
      </c>
      <c r="C31" s="7" t="inlineStr">
        <is>
          <t>Predicted Mean</t>
        </is>
      </c>
      <c r="D31" s="7" t="inlineStr">
        <is>
          <t>Lower</t>
        </is>
      </c>
      <c r="E31" s="7" t="inlineStr">
        <is>
          <t>Upper</t>
        </is>
      </c>
    </row>
    <row r="32">
      <c r="A32" s="8" t="n">
        <v>1</v>
      </c>
      <c r="B32" s="8" t="n">
        <v>0.6899999999999999</v>
      </c>
      <c r="C32" s="8" t="n">
        <v>0.2872118542192221</v>
      </c>
      <c r="D32" s="8" t="n">
        <v>-0.06584616851094283</v>
      </c>
      <c r="E32" s="8" t="n">
        <v>0.6402698769493871</v>
      </c>
    </row>
    <row r="33">
      <c r="A33" s="8" t="n">
        <v>2</v>
      </c>
      <c r="B33" s="8" t="n">
        <v>0.57</v>
      </c>
      <c r="C33" s="8" t="n">
        <v>0.7593065062766373</v>
      </c>
      <c r="D33" s="8" t="n">
        <v>0.4062484835464724</v>
      </c>
      <c r="E33" s="8" t="n">
        <v>1.112364529006802</v>
      </c>
    </row>
    <row r="34">
      <c r="A34" s="8" t="n">
        <v>3</v>
      </c>
      <c r="B34" s="8" t="n">
        <v>0.97</v>
      </c>
      <c r="C34" s="8" t="n">
        <v>0.7696662697592551</v>
      </c>
      <c r="D34" s="8" t="n">
        <v>0.4166082470290902</v>
      </c>
      <c r="E34" s="8" t="n">
        <v>1.12272429248942</v>
      </c>
    </row>
    <row r="35">
      <c r="A35" s="8" t="n">
        <v>4</v>
      </c>
      <c r="B35" s="8" t="n">
        <v>1.19</v>
      </c>
      <c r="C35" s="8" t="n">
        <v>0.9759164695210218</v>
      </c>
      <c r="D35" s="8" t="n">
        <v>0.6228584467908569</v>
      </c>
      <c r="E35" s="8" t="n">
        <v>1.328974492251187</v>
      </c>
    </row>
    <row r="36">
      <c r="A36" s="8" t="n">
        <v>5</v>
      </c>
      <c r="B36" s="8" t="n">
        <v>1.44</v>
      </c>
      <c r="C36" s="8" t="n">
        <v>1.132418996797439</v>
      </c>
      <c r="D36" s="8" t="n">
        <v>0.779360974067274</v>
      </c>
      <c r="E36" s="8" t="n">
        <v>1.485477019527604</v>
      </c>
    </row>
    <row r="37">
      <c r="A37" s="8" t="n">
        <v>6</v>
      </c>
      <c r="B37" s="8" t="n">
        <v>1.13</v>
      </c>
      <c r="C37" s="8" t="n">
        <v>1.140242402799109</v>
      </c>
      <c r="D37" s="8" t="n">
        <v>0.7871843800689438</v>
      </c>
      <c r="E37" s="8" t="n">
        <v>1.493300425529274</v>
      </c>
    </row>
    <row r="38">
      <c r="A38" s="8" t="n">
        <v>7</v>
      </c>
      <c r="B38" s="8" t="n">
        <v>1.06</v>
      </c>
      <c r="C38" s="8" t="n">
        <v>1.192590114540843</v>
      </c>
      <c r="D38" s="8" t="n">
        <v>0.8395320918106777</v>
      </c>
      <c r="E38" s="8" t="n">
        <v>1.545648137271008</v>
      </c>
    </row>
    <row r="39">
      <c r="A39" s="8" t="n">
        <v>8</v>
      </c>
      <c r="B39" s="8" t="n">
        <v>1.2</v>
      </c>
      <c r="C39" s="8" t="n">
        <v>1.268153577119144</v>
      </c>
      <c r="D39" s="8" t="n">
        <v>0.9150955543889794</v>
      </c>
      <c r="E39" s="8" t="n">
        <v>1.621211599849309</v>
      </c>
    </row>
    <row r="40">
      <c r="A40" s="8" t="n">
        <v>9</v>
      </c>
      <c r="B40" s="8" t="n">
        <v>1.35</v>
      </c>
      <c r="C40" s="8" t="n">
        <v>1.315955173658981</v>
      </c>
      <c r="D40" s="8" t="n">
        <v>0.9628971509288162</v>
      </c>
      <c r="E40" s="8" t="n">
        <v>1.669013196389146</v>
      </c>
    </row>
    <row r="41">
      <c r="A41" s="8" t="n">
        <v>10</v>
      </c>
      <c r="B41" s="8" t="n">
        <v>1.56</v>
      </c>
      <c r="C41" s="8" t="n">
        <v>1.375832357870434</v>
      </c>
      <c r="D41" s="8" t="n">
        <v>1.022774335140269</v>
      </c>
      <c r="E41" s="8" t="n">
        <v>1.728890380600599</v>
      </c>
    </row>
    <row r="42">
      <c r="A42" s="8" t="n">
        <v>11</v>
      </c>
      <c r="B42" s="8" t="n">
        <v>1.5</v>
      </c>
      <c r="C42" s="8" t="n">
        <v>1.499032226861921</v>
      </c>
      <c r="D42" s="8" t="n">
        <v>1.145974204131756</v>
      </c>
      <c r="E42" s="8" t="n">
        <v>1.852090249592085</v>
      </c>
    </row>
    <row r="43">
      <c r="A43" s="8" t="n">
        <v>12</v>
      </c>
      <c r="B43" s="8" t="n">
        <v>1.4</v>
      </c>
      <c r="C43" s="8" t="n">
        <v>1.628877415021825</v>
      </c>
      <c r="D43" s="8" t="n">
        <v>1.27581939229166</v>
      </c>
      <c r="E43" s="8" t="n">
        <v>1.98193543775199</v>
      </c>
    </row>
    <row r="44">
      <c r="A44" s="8" t="n">
        <v>13</v>
      </c>
      <c r="B44" s="8" t="n">
        <v>1.76</v>
      </c>
      <c r="C44" s="8" t="n">
        <v>1.899816104040399</v>
      </c>
      <c r="D44" s="8" t="n">
        <v>1.546758081310234</v>
      </c>
      <c r="E44" s="8" t="n">
        <v>2.252874126770564</v>
      </c>
    </row>
    <row r="45">
      <c r="A45" s="8" t="n">
        <v>14</v>
      </c>
      <c r="B45" s="8" t="n">
        <v>2</v>
      </c>
      <c r="C45" s="8" t="n">
        <v>1.978260942273217</v>
      </c>
      <c r="D45" s="8" t="n">
        <v>1.625202919543052</v>
      </c>
      <c r="E45" s="8" t="n">
        <v>2.331318965003383</v>
      </c>
    </row>
    <row r="46">
      <c r="A46" s="8" t="n">
        <v>15</v>
      </c>
      <c r="B46" s="8" t="n">
        <v>1.97</v>
      </c>
      <c r="C46" s="8" t="n">
        <v>1.981226111561599</v>
      </c>
      <c r="D46" s="8" t="n">
        <v>1.628168088831434</v>
      </c>
      <c r="E46" s="8" t="n">
        <v>2.334284134291765</v>
      </c>
    </row>
    <row r="47">
      <c r="A47" s="8" t="n">
        <v>16</v>
      </c>
      <c r="B47" s="8" t="n">
        <v>2</v>
      </c>
      <c r="C47" s="8" t="n">
        <v>2.098178984759443</v>
      </c>
      <c r="D47" s="8" t="n">
        <v>1.745120962029278</v>
      </c>
      <c r="E47" s="8" t="n">
        <v>2.451237007489608</v>
      </c>
    </row>
    <row r="48">
      <c r="A48" s="8" t="n">
        <v>17</v>
      </c>
      <c r="B48" s="8" t="n">
        <v>2</v>
      </c>
      <c r="C48" s="8" t="n">
        <v>2.304094086339541</v>
      </c>
      <c r="D48" s="8" t="n">
        <v>1.951036063609376</v>
      </c>
      <c r="E48" s="8" t="n">
        <v>2.657152109069706</v>
      </c>
    </row>
    <row r="49">
      <c r="A49" s="8" t="n">
        <v>18</v>
      </c>
      <c r="B49" s="8" t="n">
        <v>2.6</v>
      </c>
      <c r="C49" s="8" t="n">
        <v>2.513539979825246</v>
      </c>
      <c r="D49" s="8" t="n">
        <v>2.160481957095081</v>
      </c>
      <c r="E49" s="8" t="n">
        <v>2.866598002555412</v>
      </c>
    </row>
    <row r="50">
      <c r="A50" s="8" t="n">
        <v>19</v>
      </c>
      <c r="B50" s="8" t="n">
        <v>3</v>
      </c>
      <c r="C50" s="8" t="n">
        <v>2.675266729503776</v>
      </c>
      <c r="D50" s="8" t="n">
        <v>2.322208706773611</v>
      </c>
      <c r="E50" s="8" t="n">
        <v>3.028324752233941</v>
      </c>
    </row>
    <row r="51">
      <c r="A51" s="8" t="n">
        <v>20</v>
      </c>
      <c r="B51" s="8" t="n">
        <v>2.7</v>
      </c>
      <c r="C51" s="8" t="n">
        <v>2.702689449779732</v>
      </c>
      <c r="D51" s="8" t="n">
        <v>2.349631427049567</v>
      </c>
      <c r="E51" s="8" t="n">
        <v>3.055747472509897</v>
      </c>
    </row>
    <row r="52">
      <c r="A52" s="8" t="n">
        <v>21</v>
      </c>
      <c r="B52" s="8" t="n">
        <v>2.56</v>
      </c>
      <c r="C52" s="8" t="n">
        <v>2.881484842833845</v>
      </c>
      <c r="D52" s="8" t="n">
        <v>2.52842682010368</v>
      </c>
      <c r="E52" s="8" t="n">
        <v>3.23454286556401</v>
      </c>
    </row>
    <row r="53">
      <c r="A53" s="8" t="n">
        <v>22</v>
      </c>
      <c r="B53" s="8" t="n">
        <v>2.5</v>
      </c>
      <c r="C53" s="8" t="n">
        <v>2.964654157546843</v>
      </c>
      <c r="D53" s="8" t="n">
        <v>2.611596134816677</v>
      </c>
      <c r="E53" s="8" t="n">
        <v>3.317712180277008</v>
      </c>
    </row>
    <row r="54">
      <c r="A54" s="8" t="n">
        <v>23</v>
      </c>
      <c r="B54" s="8" t="n">
        <v>3</v>
      </c>
      <c r="C54" s="8" t="n">
        <v>3.006528782578928</v>
      </c>
      <c r="D54" s="8" t="n">
        <v>2.653470759848763</v>
      </c>
      <c r="E54" s="8" t="n">
        <v>3.359586805309092</v>
      </c>
    </row>
    <row r="55">
      <c r="A55" s="8" t="n">
        <v>24</v>
      </c>
      <c r="B55" s="8" t="n">
        <v>3</v>
      </c>
      <c r="C55" s="8" t="n">
        <v>3.081330438700897</v>
      </c>
      <c r="D55" s="8" t="n">
        <v>2.728272415970732</v>
      </c>
      <c r="E55" s="8" t="n">
        <v>3.434388461431062</v>
      </c>
    </row>
    <row r="56">
      <c r="A56" s="8" t="n">
        <v>25</v>
      </c>
      <c r="B56" s="8" t="n">
        <v>3</v>
      </c>
      <c r="C56" s="8" t="n">
        <v>3.146636266393102</v>
      </c>
      <c r="D56" s="8" t="n">
        <v>2.793578243662937</v>
      </c>
      <c r="E56" s="8" t="n">
        <v>3.499694289123267</v>
      </c>
    </row>
    <row r="57">
      <c r="A57" s="8" t="n">
        <v>26</v>
      </c>
      <c r="B57" s="8" t="n">
        <v>3.5</v>
      </c>
      <c r="C57" s="8" t="n">
        <v>3.477702687901731</v>
      </c>
      <c r="D57" s="8" t="n">
        <v>3.124644665171566</v>
      </c>
      <c r="E57" s="8" t="n">
        <v>3.830760710631896</v>
      </c>
    </row>
  </sheetData>
  <mergeCells count="3">
    <mergeCell ref="A4:H4"/>
    <mergeCell ref="A3:H3"/>
    <mergeCell ref="A10:G10"/>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57"/>
  <sheetViews>
    <sheetView showGridLines="0" workbookViewId="0">
      <selection activeCell="A1" sqref="A1"/>
    </sheetView>
  </sheetViews>
  <sheetFormatPr baseColWidth="8" defaultRowHeight="15"/>
  <cols>
    <col width="42" customWidth="1" min="1" max="1"/>
    <col width="12" customWidth="1" min="2" max="2"/>
    <col width="14" customWidth="1" min="3" max="3"/>
    <col width="12" customWidth="1" min="4" max="4"/>
    <col width="14" customWidth="1" min="5" max="5"/>
    <col width="10" customWidth="1" min="6" max="6"/>
    <col width="12" customWidth="1" min="7" max="7"/>
  </cols>
  <sheetData>
    <row r="1">
      <c r="A1" s="1" t="inlineStr">
        <is>
          <t>ExtraTrees -- candidate uncertainty methods on TT_OB_LB</t>
        </is>
      </c>
    </row>
    <row r="2">
      <c r="A2" s="2" t="inlineStr">
        <is>
          <t>n_train=103, n_test=26 (held out, same 80/20 split as every other family)</t>
        </is>
      </c>
    </row>
    <row r="3" ht="30" customHeight="1">
      <c r="A3" s="3" t="inlineStr">
        <is>
          <t>Small-sample caveat (mentor, 1-Sep): n_test=26 means coverage moves in ~3.8pp steps -- the 95% Wilson CI column shows how much overlap there really is between these 3 methods before treating small gaps as decisive.</t>
        </is>
      </c>
    </row>
    <row r="4" ht="45" customHeight="1">
      <c r="A4" s="3" t="inlineStr">
        <is>
          <t>Considered (mentor's email) but NOT tested here: Out-of-bag (OOB) intervals specifically (distinct from the tested ensemble-SD -- OOB uses only each point's out-of-bag trees, not the full ensemble); Quantile-forest-style intervals (needs the quantile-forest package, not installed); True jackknife+-after-bootstrap (mapie's CV+ here uses 5-fold CV, a related but not identical resampling scheme)</t>
        </is>
      </c>
    </row>
    <row r="5">
      <c r="A5" s="7" t="inlineStr">
        <is>
          <t>Method</t>
        </is>
      </c>
      <c r="B5" s="7" t="inlineStr">
        <is>
          <t>Coverage</t>
        </is>
      </c>
      <c r="C5" s="7" t="inlineStr">
        <is>
          <t>95% Wilson CI</t>
        </is>
      </c>
      <c r="D5" s="7" t="inlineStr">
        <is>
          <t>Nominal Target</t>
        </is>
      </c>
      <c r="E5" s="7" t="inlineStr">
        <is>
          <t>Mean Width</t>
        </is>
      </c>
      <c r="F5" s="7" t="inlineStr">
        <is>
          <t>Median Width</t>
        </is>
      </c>
      <c r="G5" s="7" t="inlineStr">
        <is>
          <t>RMSE</t>
        </is>
      </c>
      <c r="H5" s="7" t="inlineStr">
        <is>
          <t>Verdict</t>
        </is>
      </c>
    </row>
    <row r="6">
      <c r="A6" s="9" t="inlineStr">
        <is>
          <t>1. Native ensemble SD (bagging variance)</t>
        </is>
      </c>
      <c r="B6" s="9" t="n">
        <v>0.962</v>
      </c>
      <c r="C6" s="9" t="inlineStr">
        <is>
          <t>[0.811, 0.993]</t>
        </is>
      </c>
      <c r="D6" s="9" t="n">
        <v>0.9</v>
      </c>
      <c r="E6" s="9" t="n">
        <v>0.7794</v>
      </c>
      <c r="F6" s="9" t="n">
        <v>0.6963</v>
      </c>
      <c r="G6" s="9" t="n">
        <v>0.1888</v>
      </c>
      <c r="H6" s="9" t="inlineStr">
        <is>
          <t>CHOSEN</t>
        </is>
      </c>
    </row>
    <row r="7">
      <c r="A7" s="8" t="inlineStr">
        <is>
          <t>2. Split conformal</t>
        </is>
      </c>
      <c r="B7" s="8" t="n">
        <v>1</v>
      </c>
      <c r="C7" s="8" t="inlineStr">
        <is>
          <t>[0.871, 1.000]</t>
        </is>
      </c>
      <c r="D7" s="8" t="n">
        <v>0.9</v>
      </c>
      <c r="E7" s="8" t="n">
        <v>1.2379</v>
      </c>
      <c r="F7" s="8" t="n">
        <v>1.2379</v>
      </c>
      <c r="G7" s="8" t="n">
        <v>0.2287</v>
      </c>
      <c r="H7" s="8" t="inlineStr">
        <is>
          <t>Not chosen</t>
        </is>
      </c>
    </row>
    <row r="8">
      <c r="A8" s="8" t="inlineStr">
        <is>
          <t>3. CV+ (jackknife+/CV+ family, mapie)</t>
        </is>
      </c>
      <c r="B8" s="8" t="n">
        <v>1</v>
      </c>
      <c r="C8" s="8" t="inlineStr">
        <is>
          <t>[0.871, 1.000]</t>
        </is>
      </c>
      <c r="D8" s="8" t="n">
        <v>0.9</v>
      </c>
      <c r="E8" s="8" t="n">
        <v>1.1463</v>
      </c>
      <c r="F8" s="8" t="n">
        <v>1.1492</v>
      </c>
      <c r="G8" s="8" t="n">
        <v>0.1888</v>
      </c>
      <c r="H8" s="8" t="inlineStr">
        <is>
          <t>Not chosen</t>
        </is>
      </c>
    </row>
    <row r="10" ht="45" customHeight="1">
      <c r="A10" s="3" t="inlineStr">
        <is>
          <t>Why: Native ensemble SD wins outright: closest coverage to target (96%) AND by far the tightest interval (0.78 vs 1.15-1.24 for the alternatives) -- confirms the existing default is the right choice for this family, not just convenient.</t>
        </is>
      </c>
    </row>
    <row r="30">
      <c r="A30" s="2" t="inlineStr">
        <is>
          <t>Chosen method detail: 1. Native ensemble SD (bagging variance) (sorted by predicted mean)</t>
        </is>
      </c>
    </row>
    <row r="31">
      <c r="A31" s="7" t="inlineStr">
        <is>
          <t>Rank</t>
        </is>
      </c>
      <c r="B31" s="7" t="inlineStr">
        <is>
          <t>True Value</t>
        </is>
      </c>
      <c r="C31" s="7" t="inlineStr">
        <is>
          <t>Predicted Mean</t>
        </is>
      </c>
      <c r="D31" s="7" t="inlineStr">
        <is>
          <t>Lower</t>
        </is>
      </c>
      <c r="E31" s="7" t="inlineStr">
        <is>
          <t>Upper</t>
        </is>
      </c>
    </row>
    <row r="32">
      <c r="A32" s="8" t="n">
        <v>1</v>
      </c>
      <c r="B32" s="8" t="n">
        <v>25</v>
      </c>
      <c r="C32" s="8" t="n">
        <v>25.05522222222222</v>
      </c>
      <c r="D32" s="8" t="n">
        <v>24.79029568611936</v>
      </c>
      <c r="E32" s="8" t="n">
        <v>25.32014875832509</v>
      </c>
    </row>
    <row r="33">
      <c r="A33" s="8" t="n">
        <v>2</v>
      </c>
      <c r="B33" s="8" t="n">
        <v>25</v>
      </c>
      <c r="C33" s="8" t="n">
        <v>25.08772222222222</v>
      </c>
      <c r="D33" s="8" t="n">
        <v>24.69756108438889</v>
      </c>
      <c r="E33" s="8" t="n">
        <v>25.47788336005554</v>
      </c>
    </row>
    <row r="34">
      <c r="A34" s="8" t="n">
        <v>3</v>
      </c>
      <c r="B34" s="8" t="n">
        <v>25</v>
      </c>
      <c r="C34" s="8" t="n">
        <v>25.1513888888889</v>
      </c>
      <c r="D34" s="8" t="n">
        <v>24.64545555563919</v>
      </c>
      <c r="E34" s="8" t="n">
        <v>25.6573222221386</v>
      </c>
    </row>
    <row r="35">
      <c r="A35" s="8" t="n">
        <v>4</v>
      </c>
      <c r="B35" s="8" t="n">
        <v>25</v>
      </c>
      <c r="C35" s="8" t="n">
        <v>25.17383333333332</v>
      </c>
      <c r="D35" s="8" t="n">
        <v>24.64641667288175</v>
      </c>
      <c r="E35" s="8" t="n">
        <v>25.7012499937849</v>
      </c>
    </row>
    <row r="36">
      <c r="A36" s="8" t="n">
        <v>5</v>
      </c>
      <c r="B36" s="8" t="n">
        <v>25.3</v>
      </c>
      <c r="C36" s="8" t="n">
        <v>25.24744444444444</v>
      </c>
      <c r="D36" s="8" t="n">
        <v>24.63293317846317</v>
      </c>
      <c r="E36" s="8" t="n">
        <v>25.8619557104257</v>
      </c>
    </row>
    <row r="37">
      <c r="A37" s="8" t="n">
        <v>6</v>
      </c>
      <c r="B37" s="8" t="n">
        <v>25</v>
      </c>
      <c r="C37" s="8" t="n">
        <v>25.3322222222222</v>
      </c>
      <c r="D37" s="8" t="n">
        <v>24.70191868574759</v>
      </c>
      <c r="E37" s="8" t="n">
        <v>25.96252575869681</v>
      </c>
    </row>
    <row r="38">
      <c r="A38" s="8" t="n">
        <v>7</v>
      </c>
      <c r="B38" s="8" t="n">
        <v>25</v>
      </c>
      <c r="C38" s="8" t="n">
        <v>25.33905555555554</v>
      </c>
      <c r="D38" s="8" t="n">
        <v>24.67344755935297</v>
      </c>
      <c r="E38" s="8" t="n">
        <v>26.00466355175811</v>
      </c>
    </row>
    <row r="39">
      <c r="A39" s="8" t="n">
        <v>8</v>
      </c>
      <c r="B39" s="8" t="n">
        <v>25</v>
      </c>
      <c r="C39" s="8" t="n">
        <v>25.39744444444446</v>
      </c>
      <c r="D39" s="8" t="n">
        <v>24.72259552965789</v>
      </c>
      <c r="E39" s="8" t="n">
        <v>26.07229335923103</v>
      </c>
    </row>
    <row r="40">
      <c r="A40" s="8" t="n">
        <v>9</v>
      </c>
      <c r="B40" s="8" t="n">
        <v>25</v>
      </c>
      <c r="C40" s="8" t="n">
        <v>25.4567777777778</v>
      </c>
      <c r="D40" s="8" t="n">
        <v>24.7868389784994</v>
      </c>
      <c r="E40" s="8" t="n">
        <v>26.1267165770562</v>
      </c>
    </row>
    <row r="41">
      <c r="A41" s="8" t="n">
        <v>10</v>
      </c>
      <c r="B41" s="8" t="n">
        <v>26</v>
      </c>
      <c r="C41" s="8" t="n">
        <v>25.79449444444446</v>
      </c>
      <c r="D41" s="8" t="n">
        <v>25.18623283697435</v>
      </c>
      <c r="E41" s="8" t="n">
        <v>26.40275605191457</v>
      </c>
    </row>
    <row r="42">
      <c r="A42" s="8" t="n">
        <v>11</v>
      </c>
      <c r="B42" s="8" t="n">
        <v>26</v>
      </c>
      <c r="C42" s="8" t="n">
        <v>25.8611277777778</v>
      </c>
      <c r="D42" s="8" t="n">
        <v>25.3202401228466</v>
      </c>
      <c r="E42" s="8" t="n">
        <v>26.402015432709</v>
      </c>
    </row>
    <row r="43">
      <c r="A43" s="8" t="n">
        <v>12</v>
      </c>
      <c r="B43" s="8" t="n">
        <v>26</v>
      </c>
      <c r="C43" s="8" t="n">
        <v>25.89089999999999</v>
      </c>
      <c r="D43" s="8" t="n">
        <v>25.47928385798527</v>
      </c>
      <c r="E43" s="8" t="n">
        <v>26.30251614201472</v>
      </c>
    </row>
    <row r="44">
      <c r="A44" s="8" t="n">
        <v>13</v>
      </c>
      <c r="B44" s="8" t="n">
        <v>25.7</v>
      </c>
      <c r="C44" s="8" t="n">
        <v>25.93078333333335</v>
      </c>
      <c r="D44" s="8" t="n">
        <v>25.58546883749671</v>
      </c>
      <c r="E44" s="8" t="n">
        <v>26.27609782916999</v>
      </c>
    </row>
    <row r="45">
      <c r="A45" s="8" t="n">
        <v>14</v>
      </c>
      <c r="B45" s="8" t="n">
        <v>26</v>
      </c>
      <c r="C45" s="8" t="n">
        <v>25.94897777777777</v>
      </c>
      <c r="D45" s="8" t="n">
        <v>25.63752444013953</v>
      </c>
      <c r="E45" s="8" t="n">
        <v>26.26043111541601</v>
      </c>
    </row>
    <row r="46">
      <c r="A46" s="8" t="n">
        <v>15</v>
      </c>
      <c r="B46" s="8" t="n">
        <v>26</v>
      </c>
      <c r="C46" s="8" t="n">
        <v>25.95107222222222</v>
      </c>
      <c r="D46" s="8" t="n">
        <v>25.63038172412134</v>
      </c>
      <c r="E46" s="8" t="n">
        <v>26.27176272032311</v>
      </c>
    </row>
    <row r="47">
      <c r="A47" s="8" t="n">
        <v>16</v>
      </c>
      <c r="B47" s="8" t="n">
        <v>26</v>
      </c>
      <c r="C47" s="8" t="n">
        <v>25.96643888888888</v>
      </c>
      <c r="D47" s="8" t="n">
        <v>25.71355857354105</v>
      </c>
      <c r="E47" s="8" t="n">
        <v>26.21931920423672</v>
      </c>
    </row>
    <row r="48">
      <c r="A48" s="8" t="n">
        <v>17</v>
      </c>
      <c r="B48" s="8" t="n">
        <v>26</v>
      </c>
      <c r="C48" s="8" t="n">
        <v>25.98141666666668</v>
      </c>
      <c r="D48" s="8" t="n">
        <v>25.76237647895188</v>
      </c>
      <c r="E48" s="8" t="n">
        <v>26.20045685438148</v>
      </c>
    </row>
    <row r="49">
      <c r="A49" s="8" t="n">
        <v>18</v>
      </c>
      <c r="B49" s="8" t="n">
        <v>26</v>
      </c>
      <c r="C49" s="8" t="n">
        <v>25.99513333333334</v>
      </c>
      <c r="D49" s="8" t="n">
        <v>25.78471269306307</v>
      </c>
      <c r="E49" s="8" t="n">
        <v>26.2055539736036</v>
      </c>
    </row>
    <row r="50">
      <c r="A50" s="8" t="n">
        <v>19</v>
      </c>
      <c r="B50" s="8" t="n">
        <v>26</v>
      </c>
      <c r="C50" s="8" t="n">
        <v>26.00702222222223</v>
      </c>
      <c r="D50" s="8" t="n">
        <v>25.87199242446309</v>
      </c>
      <c r="E50" s="8" t="n">
        <v>26.14205201998137</v>
      </c>
    </row>
    <row r="51">
      <c r="A51" s="8" t="n">
        <v>20</v>
      </c>
      <c r="B51" s="8" t="n">
        <v>26</v>
      </c>
      <c r="C51" s="8" t="n">
        <v>26.00756666666667</v>
      </c>
      <c r="D51" s="8" t="n">
        <v>25.64457262203</v>
      </c>
      <c r="E51" s="8" t="n">
        <v>26.37056071130333</v>
      </c>
    </row>
    <row r="52">
      <c r="A52" s="8" t="n">
        <v>21</v>
      </c>
      <c r="B52" s="8" t="n">
        <v>26</v>
      </c>
      <c r="C52" s="8" t="n">
        <v>26.01099444444446</v>
      </c>
      <c r="D52" s="8" t="n">
        <v>25.81227803790038</v>
      </c>
      <c r="E52" s="8" t="n">
        <v>26.20971085098855</v>
      </c>
    </row>
    <row r="53">
      <c r="A53" s="8" t="n">
        <v>22</v>
      </c>
      <c r="B53" s="8" t="n">
        <v>26</v>
      </c>
      <c r="C53" s="8" t="n">
        <v>26.02234444444446</v>
      </c>
      <c r="D53" s="8" t="n">
        <v>25.80007146193005</v>
      </c>
      <c r="E53" s="8" t="n">
        <v>26.24461742695887</v>
      </c>
    </row>
    <row r="54">
      <c r="A54" s="8" t="n">
        <v>23</v>
      </c>
      <c r="B54" s="8" t="n">
        <v>26</v>
      </c>
      <c r="C54" s="8" t="n">
        <v>26.03927222222226</v>
      </c>
      <c r="D54" s="8" t="n">
        <v>25.84499001929192</v>
      </c>
      <c r="E54" s="8" t="n">
        <v>26.23355442515259</v>
      </c>
    </row>
    <row r="55">
      <c r="A55" s="8" t="n">
        <v>24</v>
      </c>
      <c r="B55" s="8" t="n">
        <v>26</v>
      </c>
      <c r="C55" s="8" t="n">
        <v>26.05024444444445</v>
      </c>
      <c r="D55" s="8" t="n">
        <v>25.79301326273935</v>
      </c>
      <c r="E55" s="8" t="n">
        <v>26.30747562614955</v>
      </c>
    </row>
    <row r="56">
      <c r="A56" s="8" t="n">
        <v>25</v>
      </c>
      <c r="B56" s="8" t="n">
        <v>26</v>
      </c>
      <c r="C56" s="8" t="n">
        <v>26.06427222222223</v>
      </c>
      <c r="D56" s="8" t="n">
        <v>25.8176831580349</v>
      </c>
      <c r="E56" s="8" t="n">
        <v>26.31086128640955</v>
      </c>
    </row>
    <row r="57">
      <c r="A57" s="8" t="n">
        <v>26</v>
      </c>
      <c r="B57" s="8" t="n">
        <v>26.5</v>
      </c>
      <c r="C57" s="8" t="n">
        <v>26.14433888888891</v>
      </c>
      <c r="D57" s="8" t="n">
        <v>25.79339775456236</v>
      </c>
      <c r="E57" s="8" t="n">
        <v>26.49528002321545</v>
      </c>
    </row>
  </sheetData>
  <mergeCells count="3">
    <mergeCell ref="A4:H4"/>
    <mergeCell ref="A3:H3"/>
    <mergeCell ref="A10:G10"/>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57"/>
  <sheetViews>
    <sheetView showGridLines="0" workbookViewId="0">
      <selection activeCell="A1" sqref="A1"/>
    </sheetView>
  </sheetViews>
  <sheetFormatPr baseColWidth="8" defaultRowHeight="15"/>
  <cols>
    <col width="42" customWidth="1" min="1" max="1"/>
    <col width="12" customWidth="1" min="2" max="2"/>
    <col width="14" customWidth="1" min="3" max="3"/>
    <col width="12" customWidth="1" min="4" max="4"/>
    <col width="14" customWidth="1" min="5" max="5"/>
    <col width="10" customWidth="1" min="6" max="6"/>
    <col width="12" customWidth="1" min="7" max="7"/>
  </cols>
  <sheetData>
    <row r="1">
      <c r="A1" s="1" t="inlineStr">
        <is>
          <t>ElasticNet -- candidate uncertainty methods on Uti_Cus_R</t>
        </is>
      </c>
    </row>
    <row r="2">
      <c r="A2" s="2" t="inlineStr">
        <is>
          <t>n_train=103, n_test=26 (held out, same 80/20 split as every other family)</t>
        </is>
      </c>
    </row>
    <row r="3" ht="30" customHeight="1">
      <c r="A3" s="3" t="inlineStr">
        <is>
          <t>Small-sample caveat (mentor, 1-Sep): n_test=26 means coverage moves in ~3.8pp steps -- the 95% Wilson CI column shows how much overlap there really is between these 3 methods before treating small gaps as decisive.</t>
        </is>
      </c>
    </row>
    <row r="4" ht="45" customHeight="1">
      <c r="A4" s="3" t="inlineStr">
        <is>
          <t>Considered (mentor's email) but NOT tested here: Local/Mondrian conformal (locally-weighted calibration by input region) -- not available in mapie's stable API at the installed version; would need a custom implementation</t>
        </is>
      </c>
    </row>
    <row r="5">
      <c r="A5" s="7" t="inlineStr">
        <is>
          <t>Method</t>
        </is>
      </c>
      <c r="B5" s="7" t="inlineStr">
        <is>
          <t>Coverage</t>
        </is>
      </c>
      <c r="C5" s="7" t="inlineStr">
        <is>
          <t>95% Wilson CI</t>
        </is>
      </c>
      <c r="D5" s="7" t="inlineStr">
        <is>
          <t>Nominal Target</t>
        </is>
      </c>
      <c r="E5" s="7" t="inlineStr">
        <is>
          <t>Mean Width</t>
        </is>
      </c>
      <c r="F5" s="7" t="inlineStr">
        <is>
          <t>Median Width</t>
        </is>
      </c>
      <c r="G5" s="7" t="inlineStr">
        <is>
          <t>RMSE</t>
        </is>
      </c>
      <c r="H5" s="7" t="inlineStr">
        <is>
          <t>Verdict</t>
        </is>
      </c>
    </row>
    <row r="6">
      <c r="A6" s="8" t="inlineStr">
        <is>
          <t>1. Split conformal (default)</t>
        </is>
      </c>
      <c r="B6" s="8" t="n">
        <v>0.846</v>
      </c>
      <c r="C6" s="8" t="inlineStr">
        <is>
          <t>[0.665, 0.939]</t>
        </is>
      </c>
      <c r="D6" s="8" t="n">
        <v>0.9</v>
      </c>
      <c r="E6" s="8" t="n">
        <v>0.1313</v>
      </c>
      <c r="F6" s="8" t="n">
        <v>0.1313</v>
      </c>
      <c r="G6" s="8" t="n">
        <v>0.0547</v>
      </c>
      <c r="H6" s="8" t="inlineStr">
        <is>
          <t>Not chosen</t>
        </is>
      </c>
    </row>
    <row r="7">
      <c r="A7" s="9" t="inlineStr">
        <is>
          <t>2. CV+ (jackknife+/CV+ family, mapie)</t>
        </is>
      </c>
      <c r="B7" s="9" t="n">
        <v>0.923</v>
      </c>
      <c r="C7" s="9" t="inlineStr">
        <is>
          <t>[0.759, 0.979]</t>
        </is>
      </c>
      <c r="D7" s="9" t="n">
        <v>0.9</v>
      </c>
      <c r="E7" s="9" t="n">
        <v>0.1329</v>
      </c>
      <c r="F7" s="9" t="n">
        <v>0.1317</v>
      </c>
      <c r="G7" s="9" t="n">
        <v>0.0548</v>
      </c>
      <c r="H7" s="9" t="inlineStr">
        <is>
          <t>CHOSEN</t>
        </is>
      </c>
    </row>
    <row r="8">
      <c r="A8" s="10" t="inlineStr">
        <is>
          <t>3. Bootstrap-calibrated ensemble</t>
        </is>
      </c>
      <c r="B8" s="10" t="n">
        <v>0.308</v>
      </c>
      <c r="C8" s="10" t="inlineStr">
        <is>
          <t>[0.165, 0.500]</t>
        </is>
      </c>
      <c r="D8" s="10" t="n">
        <v>0.9</v>
      </c>
      <c r="E8" s="10" t="n">
        <v>0.0415</v>
      </c>
      <c r="F8" s="10" t="n">
        <v>0.0424</v>
      </c>
      <c r="G8" s="10" t="n">
        <v>0.055</v>
      </c>
      <c r="H8" s="10" t="inlineStr">
        <is>
          <t>Rejected</t>
        </is>
      </c>
    </row>
    <row r="10" ht="45" customHeight="1">
      <c r="A10" s="3" t="inlineStr">
        <is>
          <t>Why: CV+ hits coverage much closer to target (92% vs split conformal's 85%) at essentially identical width. Bootstrap ensemble rejected outright: only 31% coverage -- dangerously overconfident, the worst result in the whole benchmark.</t>
        </is>
      </c>
    </row>
    <row r="30">
      <c r="A30" s="2" t="inlineStr">
        <is>
          <t>Chosen method detail: 2. CV+ (jackknife+/CV+ family, mapie) (sorted by predicted mean)</t>
        </is>
      </c>
    </row>
    <row r="31">
      <c r="A31" s="7" t="inlineStr">
        <is>
          <t>Rank</t>
        </is>
      </c>
      <c r="B31" s="7" t="inlineStr">
        <is>
          <t>True Value</t>
        </is>
      </c>
      <c r="C31" s="7" t="inlineStr">
        <is>
          <t>Predicted Mean</t>
        </is>
      </c>
      <c r="D31" s="7" t="inlineStr">
        <is>
          <t>Lower</t>
        </is>
      </c>
      <c r="E31" s="7" t="inlineStr">
        <is>
          <t>Upper</t>
        </is>
      </c>
    </row>
    <row r="32">
      <c r="A32" s="8" t="n">
        <v>1</v>
      </c>
      <c r="B32" s="8" t="n">
        <v>0.33</v>
      </c>
      <c r="C32" s="8" t="n">
        <v>0.3121431447744645</v>
      </c>
      <c r="D32" s="8" t="n">
        <v>0.243934575609338</v>
      </c>
      <c r="E32" s="8" t="n">
        <v>0.3800578197574239</v>
      </c>
    </row>
    <row r="33">
      <c r="A33" s="8" t="n">
        <v>2</v>
      </c>
      <c r="B33" s="8" t="n">
        <v>0.39</v>
      </c>
      <c r="C33" s="8" t="n">
        <v>0.3580963785144013</v>
      </c>
      <c r="D33" s="8" t="n">
        <v>0.2904808825927566</v>
      </c>
      <c r="E33" s="8" t="n">
        <v>0.4266041267408426</v>
      </c>
    </row>
    <row r="34">
      <c r="A34" s="8" t="n">
        <v>3</v>
      </c>
      <c r="B34" s="8" t="n">
        <v>0.38</v>
      </c>
      <c r="C34" s="8" t="n">
        <v>0.4166194007349892</v>
      </c>
      <c r="D34" s="8" t="n">
        <v>0.3513709161812779</v>
      </c>
      <c r="E34" s="8" t="n">
        <v>0.4835322822566254</v>
      </c>
    </row>
    <row r="35">
      <c r="A35" s="8" t="n">
        <v>4</v>
      </c>
      <c r="B35" s="8" t="n">
        <v>0.43</v>
      </c>
      <c r="C35" s="8" t="n">
        <v>0.4169186984509761</v>
      </c>
      <c r="D35" s="8" t="n">
        <v>0.351727673094884</v>
      </c>
      <c r="E35" s="8" t="n">
        <v>0.4830182986652827</v>
      </c>
    </row>
    <row r="36">
      <c r="A36" s="8" t="n">
        <v>5</v>
      </c>
      <c r="B36" s="8" t="n">
        <v>0.4</v>
      </c>
      <c r="C36" s="8" t="n">
        <v>0.4220475023394796</v>
      </c>
      <c r="D36" s="8" t="n">
        <v>0.3580439712784106</v>
      </c>
      <c r="E36" s="8" t="n">
        <v>0.4885804130926698</v>
      </c>
    </row>
    <row r="37">
      <c r="A37" s="8" t="n">
        <v>6</v>
      </c>
      <c r="B37" s="8" t="n">
        <v>0.43</v>
      </c>
      <c r="C37" s="8" t="n">
        <v>0.4242198379266833</v>
      </c>
      <c r="D37" s="8" t="n">
        <v>0.3575197014174376</v>
      </c>
      <c r="E37" s="8" t="n">
        <v>0.4924098293203614</v>
      </c>
    </row>
    <row r="38">
      <c r="A38" s="8" t="n">
        <v>7</v>
      </c>
      <c r="B38" s="8" t="n">
        <v>0.44</v>
      </c>
      <c r="C38" s="8" t="n">
        <v>0.4372420643785436</v>
      </c>
      <c r="D38" s="8" t="n">
        <v>0.3744725275406392</v>
      </c>
      <c r="E38" s="8" t="n">
        <v>0.5053469410132442</v>
      </c>
    </row>
    <row r="39">
      <c r="A39" s="8" t="n">
        <v>8</v>
      </c>
      <c r="B39" s="8" t="n">
        <v>0.41</v>
      </c>
      <c r="C39" s="8" t="n">
        <v>0.4524340228327519</v>
      </c>
      <c r="D39" s="8" t="n">
        <v>0.3874798155556923</v>
      </c>
      <c r="E39" s="8" t="n">
        <v>0.5180162573699514</v>
      </c>
    </row>
    <row r="40">
      <c r="A40" s="8" t="n">
        <v>9</v>
      </c>
      <c r="B40" s="8" t="n">
        <v>0.43</v>
      </c>
      <c r="C40" s="8" t="n">
        <v>0.4786707903416947</v>
      </c>
      <c r="D40" s="8" t="n">
        <v>0.415849504760071</v>
      </c>
      <c r="E40" s="8" t="n">
        <v>0.5475325829305889</v>
      </c>
    </row>
    <row r="41">
      <c r="A41" s="8" t="n">
        <v>10</v>
      </c>
      <c r="B41" s="8" t="n">
        <v>0.44</v>
      </c>
      <c r="C41" s="8" t="n">
        <v>0.4855768792627019</v>
      </c>
      <c r="D41" s="8" t="n">
        <v>0.4172407340999857</v>
      </c>
      <c r="E41" s="8" t="n">
        <v>0.550363571695244</v>
      </c>
    </row>
    <row r="42">
      <c r="A42" s="8" t="n">
        <v>11</v>
      </c>
      <c r="B42" s="8" t="n">
        <v>0.53</v>
      </c>
      <c r="C42" s="8" t="n">
        <v>0.5266696612558055</v>
      </c>
      <c r="D42" s="8" t="n">
        <v>0.4576633143958817</v>
      </c>
      <c r="E42" s="8" t="n">
        <v>0.5889539399662804</v>
      </c>
    </row>
    <row r="43">
      <c r="A43" s="8" t="n">
        <v>12</v>
      </c>
      <c r="B43" s="8" t="n">
        <v>0.49</v>
      </c>
      <c r="C43" s="8" t="n">
        <v>0.5483970889744352</v>
      </c>
      <c r="D43" s="8" t="n">
        <v>0.4829036716440226</v>
      </c>
      <c r="E43" s="8" t="n">
        <v>0.6141942972144213</v>
      </c>
    </row>
    <row r="44">
      <c r="A44" s="8" t="n">
        <v>13</v>
      </c>
      <c r="B44" s="8" t="n">
        <v>0.55</v>
      </c>
      <c r="C44" s="8" t="n">
        <v>0.5629432047196247</v>
      </c>
      <c r="D44" s="8" t="n">
        <v>0.4950364019553727</v>
      </c>
      <c r="E44" s="8" t="n">
        <v>0.6263270275257714</v>
      </c>
    </row>
    <row r="45">
      <c r="A45" s="8" t="n">
        <v>14</v>
      </c>
      <c r="B45" s="8" t="n">
        <v>0.59</v>
      </c>
      <c r="C45" s="8" t="n">
        <v>0.5727640766019522</v>
      </c>
      <c r="D45" s="8" t="n">
        <v>0.5062486435661904</v>
      </c>
      <c r="E45" s="8" t="n">
        <v>0.6375392691365891</v>
      </c>
    </row>
    <row r="46">
      <c r="A46" s="8" t="n">
        <v>15</v>
      </c>
      <c r="B46" s="8" t="n">
        <v>0.59</v>
      </c>
      <c r="C46" s="8" t="n">
        <v>0.5804890038205834</v>
      </c>
      <c r="D46" s="8" t="n">
        <v>0.5118963720555868</v>
      </c>
      <c r="E46" s="8" t="n">
        <v>0.6475748575120828</v>
      </c>
    </row>
    <row r="47">
      <c r="A47" s="8" t="n">
        <v>16</v>
      </c>
      <c r="B47" s="8" t="n">
        <v>0.61</v>
      </c>
      <c r="C47" s="8" t="n">
        <v>0.5854049696586898</v>
      </c>
      <c r="D47" s="8" t="n">
        <v>0.5154847836086082</v>
      </c>
      <c r="E47" s="8" t="n">
        <v>0.6467754091790069</v>
      </c>
    </row>
    <row r="48">
      <c r="A48" s="8" t="n">
        <v>17</v>
      </c>
      <c r="B48" s="8" t="n">
        <v>0.63</v>
      </c>
      <c r="C48" s="8" t="n">
        <v>0.6961802963813071</v>
      </c>
      <c r="D48" s="8" t="n">
        <v>0.6278833472118962</v>
      </c>
      <c r="E48" s="8" t="n">
        <v>0.7619307738197512</v>
      </c>
    </row>
    <row r="49">
      <c r="A49" s="8" t="n">
        <v>18</v>
      </c>
      <c r="B49" s="8" t="n">
        <v>0.68</v>
      </c>
      <c r="C49" s="8" t="n">
        <v>0.7152851369234829</v>
      </c>
      <c r="D49" s="8" t="n">
        <v>0.6464580572440671</v>
      </c>
      <c r="E49" s="8" t="n">
        <v>0.7782729296389501</v>
      </c>
    </row>
    <row r="50">
      <c r="A50" s="8" t="n">
        <v>19</v>
      </c>
      <c r="B50" s="8" t="n">
        <v>0.51</v>
      </c>
      <c r="C50" s="8" t="n">
        <v>0.7213083152772211</v>
      </c>
      <c r="D50" s="8" t="n">
        <v>0.6494950748244767</v>
      </c>
      <c r="E50" s="8" t="n">
        <v>0.7845096175088982</v>
      </c>
    </row>
    <row r="51">
      <c r="A51" s="8" t="n">
        <v>20</v>
      </c>
      <c r="B51" s="8" t="n">
        <v>0.71</v>
      </c>
      <c r="C51" s="8" t="n">
        <v>0.7332496738404874</v>
      </c>
      <c r="D51" s="8" t="n">
        <v>0.6644935414181753</v>
      </c>
      <c r="E51" s="8" t="n">
        <v>0.795784166988574</v>
      </c>
    </row>
    <row r="52">
      <c r="A52" s="8" t="n">
        <v>21</v>
      </c>
      <c r="B52" s="8" t="n">
        <v>0.82</v>
      </c>
      <c r="C52" s="8" t="n">
        <v>0.7641514013106065</v>
      </c>
      <c r="D52" s="8" t="n">
        <v>0.6934101858343291</v>
      </c>
      <c r="E52" s="8" t="n">
        <v>0.8295334299824151</v>
      </c>
    </row>
    <row r="53">
      <c r="A53" s="8" t="n">
        <v>22</v>
      </c>
      <c r="B53" s="8" t="n">
        <v>0.77</v>
      </c>
      <c r="C53" s="8" t="n">
        <v>0.7864027673350951</v>
      </c>
      <c r="D53" s="8" t="n">
        <v>0.7183540127251893</v>
      </c>
      <c r="E53" s="8" t="n">
        <v>0.8488904545394484</v>
      </c>
    </row>
    <row r="54">
      <c r="A54" s="8" t="n">
        <v>23</v>
      </c>
      <c r="B54" s="8" t="n">
        <v>0.8100000000000001</v>
      </c>
      <c r="C54" s="8" t="n">
        <v>0.7882570873364089</v>
      </c>
      <c r="D54" s="8" t="n">
        <v>0.715818432172326</v>
      </c>
      <c r="E54" s="8" t="n">
        <v>0.851186685722223</v>
      </c>
    </row>
    <row r="55">
      <c r="A55" s="8" t="n">
        <v>24</v>
      </c>
      <c r="B55" s="8" t="n">
        <v>0.86</v>
      </c>
      <c r="C55" s="8" t="n">
        <v>0.8095496782547149</v>
      </c>
      <c r="D55" s="8" t="n">
        <v>0.7443788715200822</v>
      </c>
      <c r="E55" s="8" t="n">
        <v>0.8756694970904809</v>
      </c>
    </row>
    <row r="56">
      <c r="A56" s="8" t="n">
        <v>25</v>
      </c>
      <c r="B56" s="8" t="n">
        <v>0.93</v>
      </c>
      <c r="C56" s="8" t="n">
        <v>0.8608678544934206</v>
      </c>
      <c r="D56" s="8" t="n">
        <v>0.7891206839021581</v>
      </c>
      <c r="E56" s="8" t="n">
        <v>0.925243928050244</v>
      </c>
    </row>
    <row r="57">
      <c r="A57" s="8" t="n">
        <v>26</v>
      </c>
      <c r="B57" s="8" t="n">
        <v>0.97</v>
      </c>
      <c r="C57" s="8" t="n">
        <v>1.012966171392378</v>
      </c>
      <c r="D57" s="8" t="n">
        <v>0.940843644215727</v>
      </c>
      <c r="E57" s="8" t="n">
        <v>1.075711201352868</v>
      </c>
    </row>
  </sheetData>
  <mergeCells count="3">
    <mergeCell ref="A4:H4"/>
    <mergeCell ref="A3:H3"/>
    <mergeCell ref="A10:G10"/>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56"/>
  <sheetViews>
    <sheetView showGridLines="0" workbookViewId="0">
      <selection activeCell="A1" sqref="A1"/>
    </sheetView>
  </sheetViews>
  <sheetFormatPr baseColWidth="8" defaultRowHeight="15"/>
  <cols>
    <col width="42" customWidth="1" min="1" max="1"/>
    <col width="12" customWidth="1" min="2" max="2"/>
    <col width="14" customWidth="1" min="3" max="3"/>
    <col width="12" customWidth="1" min="4" max="4"/>
    <col width="14" customWidth="1" min="5" max="5"/>
    <col width="10" customWidth="1" min="6" max="6"/>
    <col width="12" customWidth="1" min="7" max="7"/>
  </cols>
  <sheetData>
    <row r="1">
      <c r="A1" s="1" t="inlineStr">
        <is>
          <t>Lasso -- candidate uncertainty methods on WT_OB_A_GB-Dub</t>
        </is>
      </c>
    </row>
    <row r="2">
      <c r="A2" s="2" t="inlineStr">
        <is>
          <t>n_train=103, n_test=26 (held out, same 80/20 split as every other family)</t>
        </is>
      </c>
    </row>
    <row r="3" ht="30" customHeight="1">
      <c r="A3" s="3" t="inlineStr">
        <is>
          <t>Small-sample caveat (mentor, 1-Sep): n_test=26 means coverage moves in ~3.8pp steps -- the 95% Wilson CI column shows how much overlap there really is between these 3 methods before treating small gaps as decisive.</t>
        </is>
      </c>
    </row>
    <row r="4">
      <c r="A4" s="7" t="inlineStr">
        <is>
          <t>Method</t>
        </is>
      </c>
      <c r="B4" s="7" t="inlineStr">
        <is>
          <t>Coverage</t>
        </is>
      </c>
      <c r="C4" s="7" t="inlineStr">
        <is>
          <t>95% Wilson CI</t>
        </is>
      </c>
      <c r="D4" s="7" t="inlineStr">
        <is>
          <t>Nominal Target</t>
        </is>
      </c>
      <c r="E4" s="7" t="inlineStr">
        <is>
          <t>Mean Width</t>
        </is>
      </c>
      <c r="F4" s="7" t="inlineStr">
        <is>
          <t>Median Width</t>
        </is>
      </c>
      <c r="G4" s="7" t="inlineStr">
        <is>
          <t>RMSE</t>
        </is>
      </c>
      <c r="H4" s="7" t="inlineStr">
        <is>
          <t>Verdict</t>
        </is>
      </c>
    </row>
    <row r="5">
      <c r="A5" s="9" t="inlineStr">
        <is>
          <t>1. Split conformal (default)</t>
        </is>
      </c>
      <c r="B5" s="9" t="n">
        <v>0.962</v>
      </c>
      <c r="C5" s="9" t="inlineStr">
        <is>
          <t>[0.811, 0.993]</t>
        </is>
      </c>
      <c r="D5" s="9" t="n">
        <v>0.9</v>
      </c>
      <c r="E5" s="9" t="n">
        <v>0.6024</v>
      </c>
      <c r="F5" s="9" t="n">
        <v>0.6024</v>
      </c>
      <c r="G5" s="9" t="n">
        <v>0.1539</v>
      </c>
      <c r="H5" s="9" t="inlineStr">
        <is>
          <t>CHOSEN</t>
        </is>
      </c>
    </row>
    <row r="6">
      <c r="A6" s="8" t="inlineStr">
        <is>
          <t>2. CV+ (jackknife+/CV+ family, mapie)</t>
        </is>
      </c>
      <c r="B6" s="8" t="n">
        <v>0.962</v>
      </c>
      <c r="C6" s="8" t="inlineStr">
        <is>
          <t>[0.811, 0.993]</t>
        </is>
      </c>
      <c r="D6" s="8" t="n">
        <v>0.9</v>
      </c>
      <c r="E6" s="8" t="n">
        <v>0.7042</v>
      </c>
      <c r="F6" s="8" t="n">
        <v>0.7077</v>
      </c>
      <c r="G6" s="8" t="n">
        <v>0.1453</v>
      </c>
      <c r="H6" s="8" t="inlineStr">
        <is>
          <t>Not chosen</t>
        </is>
      </c>
    </row>
    <row r="7">
      <c r="A7" s="10" t="inlineStr">
        <is>
          <t>3. Bootstrap-calibrated ensemble</t>
        </is>
      </c>
      <c r="B7" s="10" t="n">
        <v>0.615</v>
      </c>
      <c r="C7" s="10" t="inlineStr">
        <is>
          <t>[0.425, 0.776]</t>
        </is>
      </c>
      <c r="D7" s="10" t="n">
        <v>0.9</v>
      </c>
      <c r="E7" s="10" t="n">
        <v>0.2295</v>
      </c>
      <c r="F7" s="10" t="n">
        <v>0.2127</v>
      </c>
      <c r="G7" s="10" t="n">
        <v>0.144</v>
      </c>
      <c r="H7" s="10" t="inlineStr">
        <is>
          <t>Rejected</t>
        </is>
      </c>
    </row>
    <row r="9" ht="45" customHeight="1">
      <c r="A9" s="3" t="inlineStr">
        <is>
          <t>Why: Split conformal matches CV+'s coverage (96%) but is notably tighter (0.60 vs 0.70). Bootstrap ensemble rejected: 62% coverage, well short of the 90% target.</t>
        </is>
      </c>
    </row>
    <row r="29">
      <c r="A29" s="2" t="inlineStr">
        <is>
          <t>Chosen method detail: 1. Split conformal (default) (sorted by predicted mean)</t>
        </is>
      </c>
    </row>
    <row r="30">
      <c r="A30" s="7" t="inlineStr">
        <is>
          <t>Rank</t>
        </is>
      </c>
      <c r="B30" s="7" t="inlineStr">
        <is>
          <t>True Value</t>
        </is>
      </c>
      <c r="C30" s="7" t="inlineStr">
        <is>
          <t>Predicted Mean</t>
        </is>
      </c>
      <c r="D30" s="7" t="inlineStr">
        <is>
          <t>Lower</t>
        </is>
      </c>
      <c r="E30" s="7" t="inlineStr">
        <is>
          <t>Upper</t>
        </is>
      </c>
    </row>
    <row r="31">
      <c r="A31" s="8" t="n">
        <v>1</v>
      </c>
      <c r="B31" s="8" t="n">
        <v>0.19</v>
      </c>
      <c r="C31" s="8" t="n">
        <v>-0.02086389095625618</v>
      </c>
      <c r="D31" s="8" t="n">
        <v>-0.3220777372349236</v>
      </c>
      <c r="E31" s="8" t="n">
        <v>0.2803499553224112</v>
      </c>
    </row>
    <row r="32">
      <c r="A32" s="8" t="n">
        <v>2</v>
      </c>
      <c r="B32" s="8" t="n">
        <v>0.26</v>
      </c>
      <c r="C32" s="8" t="n">
        <v>-0.003116648758439533</v>
      </c>
      <c r="D32" s="8" t="n">
        <v>-0.304330495037107</v>
      </c>
      <c r="E32" s="8" t="n">
        <v>0.2980971975202279</v>
      </c>
    </row>
    <row r="33">
      <c r="A33" s="8" t="n">
        <v>3</v>
      </c>
      <c r="B33" s="8" t="n">
        <v>0.41</v>
      </c>
      <c r="C33" s="8" t="n">
        <v>0.3302075689070187</v>
      </c>
      <c r="D33" s="8" t="n">
        <v>0.02899372262835131</v>
      </c>
      <c r="E33" s="8" t="n">
        <v>0.6314214151856862</v>
      </c>
    </row>
    <row r="34">
      <c r="A34" s="8" t="n">
        <v>4</v>
      </c>
      <c r="B34" s="8" t="n">
        <v>0.37</v>
      </c>
      <c r="C34" s="8" t="n">
        <v>0.3581803320222693</v>
      </c>
      <c r="D34" s="8" t="n">
        <v>0.05696648574360186</v>
      </c>
      <c r="E34" s="8" t="n">
        <v>0.6593941783009367</v>
      </c>
    </row>
    <row r="35">
      <c r="A35" s="8" t="n">
        <v>5</v>
      </c>
      <c r="B35" s="8" t="n">
        <v>0.5600000000000001</v>
      </c>
      <c r="C35" s="8" t="n">
        <v>0.4271155354175004</v>
      </c>
      <c r="D35" s="8" t="n">
        <v>0.1259016891388329</v>
      </c>
      <c r="E35" s="8" t="n">
        <v>0.7283293816961678</v>
      </c>
    </row>
    <row r="36">
      <c r="A36" s="8" t="n">
        <v>6</v>
      </c>
      <c r="B36" s="8" t="n">
        <v>0.65</v>
      </c>
      <c r="C36" s="8" t="n">
        <v>0.5821856269069285</v>
      </c>
      <c r="D36" s="8" t="n">
        <v>0.2809717806282611</v>
      </c>
      <c r="E36" s="8" t="n">
        <v>0.883399473185596</v>
      </c>
    </row>
    <row r="37">
      <c r="A37" s="8" t="n">
        <v>7</v>
      </c>
      <c r="B37" s="8" t="n">
        <v>0.85</v>
      </c>
      <c r="C37" s="8" t="n">
        <v>0.6576850971879071</v>
      </c>
      <c r="D37" s="8" t="n">
        <v>0.3564712509092397</v>
      </c>
      <c r="E37" s="8" t="n">
        <v>0.9588989434665746</v>
      </c>
    </row>
    <row r="38">
      <c r="A38" s="8" t="n">
        <v>8</v>
      </c>
      <c r="B38" s="8" t="n">
        <v>0.62</v>
      </c>
      <c r="C38" s="8" t="n">
        <v>0.6773418228438872</v>
      </c>
      <c r="D38" s="8" t="n">
        <v>0.3761279765652198</v>
      </c>
      <c r="E38" s="8" t="n">
        <v>0.9785556691225546</v>
      </c>
    </row>
    <row r="39">
      <c r="A39" s="8" t="n">
        <v>9</v>
      </c>
      <c r="B39" s="8" t="n">
        <v>0.82</v>
      </c>
      <c r="C39" s="8" t="n">
        <v>0.6890700171195978</v>
      </c>
      <c r="D39" s="8" t="n">
        <v>0.3878561708409304</v>
      </c>
      <c r="E39" s="8" t="n">
        <v>0.9902838633982652</v>
      </c>
    </row>
    <row r="40">
      <c r="A40" s="8" t="n">
        <v>10</v>
      </c>
      <c r="B40" s="8" t="n">
        <v>0.5</v>
      </c>
      <c r="C40" s="8" t="n">
        <v>0.6949242166482015</v>
      </c>
      <c r="D40" s="8" t="n">
        <v>0.393710370369534</v>
      </c>
      <c r="E40" s="8" t="n">
        <v>0.9961380629268689</v>
      </c>
    </row>
    <row r="41">
      <c r="A41" s="8" t="n">
        <v>11</v>
      </c>
      <c r="B41" s="8" t="n">
        <v>0.68</v>
      </c>
      <c r="C41" s="8" t="n">
        <v>0.7079241429327947</v>
      </c>
      <c r="D41" s="8" t="n">
        <v>0.4067102966541273</v>
      </c>
      <c r="E41" s="8" t="n">
        <v>1.009137989211462</v>
      </c>
    </row>
    <row r="42">
      <c r="A42" s="8" t="n">
        <v>12</v>
      </c>
      <c r="B42" s="8" t="n">
        <v>0.55</v>
      </c>
      <c r="C42" s="8" t="n">
        <v>0.7400896559037798</v>
      </c>
      <c r="D42" s="8" t="n">
        <v>0.4388758096251124</v>
      </c>
      <c r="E42" s="8" t="n">
        <v>1.041303502182447</v>
      </c>
    </row>
    <row r="43">
      <c r="A43" s="8" t="n">
        <v>13</v>
      </c>
      <c r="B43" s="8" t="n">
        <v>0.9</v>
      </c>
      <c r="C43" s="8" t="n">
        <v>0.8563375387599732</v>
      </c>
      <c r="D43" s="8" t="n">
        <v>0.5551236924813058</v>
      </c>
      <c r="E43" s="8" t="n">
        <v>1.157551385038641</v>
      </c>
    </row>
    <row r="44">
      <c r="A44" s="8" t="n">
        <v>14</v>
      </c>
      <c r="B44" s="8" t="n">
        <v>0.89</v>
      </c>
      <c r="C44" s="8" t="n">
        <v>0.9626280009989673</v>
      </c>
      <c r="D44" s="8" t="n">
        <v>0.6614141547202999</v>
      </c>
      <c r="E44" s="8" t="n">
        <v>1.263841847277635</v>
      </c>
    </row>
    <row r="45">
      <c r="A45" s="8" t="n">
        <v>15</v>
      </c>
      <c r="B45" s="8" t="n">
        <v>0.49</v>
      </c>
      <c r="C45" s="8" t="n">
        <v>0.9684889641614861</v>
      </c>
      <c r="D45" s="8" t="n">
        <v>0.6672751178828187</v>
      </c>
      <c r="E45" s="8" t="n">
        <v>1.269702810440154</v>
      </c>
    </row>
    <row r="46">
      <c r="A46" s="8" t="n">
        <v>16</v>
      </c>
      <c r="B46" s="8" t="n">
        <v>0.99</v>
      </c>
      <c r="C46" s="8" t="n">
        <v>1.056533802793571</v>
      </c>
      <c r="D46" s="8" t="n">
        <v>0.7553199565149035</v>
      </c>
      <c r="E46" s="8" t="n">
        <v>1.357747649072238</v>
      </c>
    </row>
    <row r="47">
      <c r="A47" s="8" t="n">
        <v>17</v>
      </c>
      <c r="B47" s="8" t="n">
        <v>1.08</v>
      </c>
      <c r="C47" s="8" t="n">
        <v>1.098209186946912</v>
      </c>
      <c r="D47" s="8" t="n">
        <v>0.7969953406682447</v>
      </c>
      <c r="E47" s="8" t="n">
        <v>1.39942303322558</v>
      </c>
    </row>
    <row r="48">
      <c r="A48" s="8" t="n">
        <v>18</v>
      </c>
      <c r="B48" s="8" t="n">
        <v>1.1</v>
      </c>
      <c r="C48" s="8" t="n">
        <v>1.130393287760989</v>
      </c>
      <c r="D48" s="8" t="n">
        <v>0.8291794414823211</v>
      </c>
      <c r="E48" s="8" t="n">
        <v>1.431607134039656</v>
      </c>
    </row>
    <row r="49">
      <c r="A49" s="8" t="n">
        <v>19</v>
      </c>
      <c r="B49" s="8" t="n">
        <v>1.08</v>
      </c>
      <c r="C49" s="8" t="n">
        <v>1.132786969483441</v>
      </c>
      <c r="D49" s="8" t="n">
        <v>0.8315731232047737</v>
      </c>
      <c r="E49" s="8" t="n">
        <v>1.434000815762109</v>
      </c>
    </row>
    <row r="50">
      <c r="A50" s="8" t="n">
        <v>20</v>
      </c>
      <c r="B50" s="8" t="n">
        <v>1</v>
      </c>
      <c r="C50" s="8" t="n">
        <v>1.14895586542792</v>
      </c>
      <c r="D50" s="8" t="n">
        <v>0.8477420191492523</v>
      </c>
      <c r="E50" s="8" t="n">
        <v>1.450169711706587</v>
      </c>
    </row>
    <row r="51">
      <c r="A51" s="8" t="n">
        <v>21</v>
      </c>
      <c r="B51" s="8" t="n">
        <v>1.57</v>
      </c>
      <c r="C51" s="8" t="n">
        <v>1.348374765488317</v>
      </c>
      <c r="D51" s="8" t="n">
        <v>1.04716091920965</v>
      </c>
      <c r="E51" s="8" t="n">
        <v>1.649588611766985</v>
      </c>
    </row>
    <row r="52">
      <c r="A52" s="8" t="n">
        <v>22</v>
      </c>
      <c r="B52" s="8" t="n">
        <v>1.52</v>
      </c>
      <c r="C52" s="8" t="n">
        <v>1.452336232704338</v>
      </c>
      <c r="D52" s="8" t="n">
        <v>1.15112238642567</v>
      </c>
      <c r="E52" s="8" t="n">
        <v>1.753550078983005</v>
      </c>
    </row>
    <row r="53">
      <c r="A53" s="8" t="n">
        <v>23</v>
      </c>
      <c r="B53" s="8" t="n">
        <v>1.6</v>
      </c>
      <c r="C53" s="8" t="n">
        <v>1.490490032477886</v>
      </c>
      <c r="D53" s="8" t="n">
        <v>1.189276186199219</v>
      </c>
      <c r="E53" s="8" t="n">
        <v>1.791703878756554</v>
      </c>
    </row>
    <row r="54">
      <c r="A54" s="8" t="n">
        <v>24</v>
      </c>
      <c r="B54" s="8" t="n">
        <v>1.51</v>
      </c>
      <c r="C54" s="8" t="n">
        <v>1.516250033798326</v>
      </c>
      <c r="D54" s="8" t="n">
        <v>1.215036187519659</v>
      </c>
      <c r="E54" s="8" t="n">
        <v>1.817463880076994</v>
      </c>
    </row>
    <row r="55">
      <c r="A55" s="8" t="n">
        <v>25</v>
      </c>
      <c r="B55" s="8" t="n">
        <v>1.7</v>
      </c>
      <c r="C55" s="8" t="n">
        <v>1.661128029766686</v>
      </c>
      <c r="D55" s="8" t="n">
        <v>1.359914183488018</v>
      </c>
      <c r="E55" s="8" t="n">
        <v>1.962341876045353</v>
      </c>
    </row>
    <row r="56">
      <c r="A56" s="8" t="n">
        <v>26</v>
      </c>
      <c r="B56" s="8" t="n">
        <v>1.82</v>
      </c>
      <c r="C56" s="8" t="n">
        <v>1.734198550606831</v>
      </c>
      <c r="D56" s="8" t="n">
        <v>1.432984704328164</v>
      </c>
      <c r="E56" s="8" t="n">
        <v>2.035412396885498</v>
      </c>
    </row>
  </sheetData>
  <mergeCells count="2">
    <mergeCell ref="A3:H3"/>
    <mergeCell ref="A9:G9"/>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H59"/>
  <sheetViews>
    <sheetView showGridLines="0" workbookViewId="0">
      <selection activeCell="A1" sqref="A1"/>
    </sheetView>
  </sheetViews>
  <sheetFormatPr baseColWidth="8" defaultRowHeight="15"/>
  <cols>
    <col width="42" customWidth="1" min="1" max="1"/>
    <col width="12" customWidth="1" min="2" max="2"/>
    <col width="14" customWidth="1" min="3" max="3"/>
    <col width="12" customWidth="1" min="4" max="4"/>
    <col width="14" customWidth="1" min="5" max="5"/>
    <col width="10" customWidth="1" min="6" max="6"/>
    <col width="12" customWidth="1" min="7" max="7"/>
  </cols>
  <sheetData>
    <row r="1">
      <c r="A1" s="1" t="inlineStr">
        <is>
          <t>SVR (RBF) -- candidate uncertainty methods on WT_IB_NA_Ross</t>
        </is>
      </c>
    </row>
    <row r="2">
      <c r="A2" s="2" t="inlineStr">
        <is>
          <t>n_train=103, n_test=26 (held out, same 80/20 split as every other family)</t>
        </is>
      </c>
    </row>
    <row r="3" ht="30" customHeight="1">
      <c r="A3" s="3" t="inlineStr">
        <is>
          <t>Small-sample caveat (mentor, 1-Sep): n_test=26 means coverage moves in ~3.8pp steps -- the 95% Wilson CI column shows how much overlap there really is between these 3 methods before treating small gaps as decisive.</t>
        </is>
      </c>
    </row>
    <row r="4" ht="45" customHeight="1">
      <c r="A4" s="3" t="inlineStr">
        <is>
          <t>Considered (mentor's email) but NOT tested here: True conformalized quantile regression (CQR) -- needs a quantile-loss SVR variant; standard sklearn SVR doesn't expose one, so CV+ was tested as the closest available substitute</t>
        </is>
      </c>
    </row>
    <row r="5">
      <c r="A5" s="7" t="inlineStr">
        <is>
          <t>Method</t>
        </is>
      </c>
      <c r="B5" s="7" t="inlineStr">
        <is>
          <t>Coverage</t>
        </is>
      </c>
      <c r="C5" s="7" t="inlineStr">
        <is>
          <t>95% Wilson CI</t>
        </is>
      </c>
      <c r="D5" s="7" t="inlineStr">
        <is>
          <t>Nominal Target</t>
        </is>
      </c>
      <c r="E5" s="7" t="inlineStr">
        <is>
          <t>Mean Width</t>
        </is>
      </c>
      <c r="F5" s="7" t="inlineStr">
        <is>
          <t>Median Width</t>
        </is>
      </c>
      <c r="G5" s="7" t="inlineStr">
        <is>
          <t>RMSE</t>
        </is>
      </c>
      <c r="H5" s="7" t="inlineStr">
        <is>
          <t>Verdict</t>
        </is>
      </c>
    </row>
    <row r="6">
      <c r="A6" s="9" t="inlineStr">
        <is>
          <t>1. Split conformal (default)</t>
        </is>
      </c>
      <c r="B6" s="9" t="n">
        <v>0.923</v>
      </c>
      <c r="C6" s="9" t="inlineStr">
        <is>
          <t>[0.759, 0.979]</t>
        </is>
      </c>
      <c r="D6" s="9" t="n">
        <v>0.9</v>
      </c>
      <c r="E6" s="9" t="n">
        <v>5.4353</v>
      </c>
      <c r="F6" s="9" t="n">
        <v>5.4353</v>
      </c>
      <c r="G6" s="9" t="n">
        <v>14.9867</v>
      </c>
      <c r="H6" s="9" t="inlineStr">
        <is>
          <t>CHOSEN</t>
        </is>
      </c>
    </row>
    <row r="7">
      <c r="A7" s="10" t="inlineStr">
        <is>
          <t>2. Bootstrap/subsample ensemble</t>
        </is>
      </c>
      <c r="B7" s="10" t="n">
        <v>0.538</v>
      </c>
      <c r="C7" s="10" t="inlineStr">
        <is>
          <t>[0.355, 0.712]</t>
        </is>
      </c>
      <c r="D7" s="10" t="n">
        <v>0.9</v>
      </c>
      <c r="E7" s="10" t="n">
        <v>1.682</v>
      </c>
      <c r="F7" s="10" t="n">
        <v>1.1006</v>
      </c>
      <c r="G7" s="10" t="n">
        <v>14.9636</v>
      </c>
      <c r="H7" s="10" t="inlineStr">
        <is>
          <t>Rejected</t>
        </is>
      </c>
    </row>
    <row r="8">
      <c r="A8" s="8" t="inlineStr">
        <is>
          <t>3. CV+ (jackknife+/CV+ family, mapie)</t>
        </is>
      </c>
      <c r="B8" s="8" t="n">
        <v>0.846</v>
      </c>
      <c r="C8" s="8" t="inlineStr">
        <is>
          <t>[0.665, 0.939]</t>
        </is>
      </c>
      <c r="D8" s="8" t="n">
        <v>0.9</v>
      </c>
      <c r="E8" s="8" t="n">
        <v>3.3969</v>
      </c>
      <c r="F8" s="8" t="n">
        <v>3.3345</v>
      </c>
      <c r="G8" s="8" t="n">
        <v>14.933</v>
      </c>
      <c r="H8" s="8" t="inlineStr">
        <is>
          <t>Not chosen</t>
        </is>
      </c>
    </row>
    <row r="10" ht="105" customHeight="1">
      <c r="A10" s="3" t="inlineStr">
        <is>
          <t>Width-vs-RMSE note: interval width (~5.4) and RMSE (~15.0) look inconsistent at first glance. Checked directly -- one held-out point (run 119) has a true value of 82.0, the single highest value of this KPI across all 129 real points (mean 3.7, median 2.1); every method's predicted mean for it was ~5.8, so its residual (~76) alone dominates the sum of squared errors behind RMSE. The median absolute residual across the other 25 points is only 0.42 -- the model is accurate almost everywhere and badly wrong on this one genuine tail event. Interval width is a quantile (90th percentile of calibration residuals), which is far more robust to a single extreme point than RMSE's squared-error average -- this is why the two numbers diverge so much. Not a bug; a real property of this KPI's heavy-tailed distribution meeting a small held-out set.</t>
        </is>
      </c>
    </row>
    <row r="12" ht="45" customHeight="1">
      <c r="A12" s="3" t="inlineStr">
        <is>
          <t>Why: Close call, stated plainly: split conformal safely meets target (92%) but is wider (5.44); CV+ is much tighter (3.40) but undershoots (85%). With only 26 held-out points the 85%-vs-92% gap is close to sampling noise -- split conformal chosen as the safer default until this can be re-checked with more data. Bootstrap ensemble rejected: 54% coverage.</t>
        </is>
      </c>
    </row>
    <row r="32">
      <c r="A32" s="2" t="inlineStr">
        <is>
          <t>Chosen method detail: 1. Split conformal (default) (sorted by predicted mean)</t>
        </is>
      </c>
    </row>
    <row r="33">
      <c r="A33" s="7" t="inlineStr">
        <is>
          <t>Rank</t>
        </is>
      </c>
      <c r="B33" s="7" t="inlineStr">
        <is>
          <t>True Value</t>
        </is>
      </c>
      <c r="C33" s="7" t="inlineStr">
        <is>
          <t>Predicted Mean</t>
        </is>
      </c>
      <c r="D33" s="7" t="inlineStr">
        <is>
          <t>Lower</t>
        </is>
      </c>
      <c r="E33" s="7" t="inlineStr">
        <is>
          <t>Upper</t>
        </is>
      </c>
    </row>
    <row r="34">
      <c r="A34" s="8" t="n">
        <v>1</v>
      </c>
      <c r="B34" s="8" t="n">
        <v>0.9399999999999999</v>
      </c>
      <c r="C34" s="8" t="n">
        <v>0.6701424074627442</v>
      </c>
      <c r="D34" s="8" t="n">
        <v>-2.047485420198075</v>
      </c>
      <c r="E34" s="8" t="n">
        <v>3.387770235123564</v>
      </c>
    </row>
    <row r="35">
      <c r="A35" s="8" t="n">
        <v>2</v>
      </c>
      <c r="B35" s="8" t="n">
        <v>1.2</v>
      </c>
      <c r="C35" s="8" t="n">
        <v>1.301594946534386</v>
      </c>
      <c r="D35" s="8" t="n">
        <v>-1.416032881126433</v>
      </c>
      <c r="E35" s="8" t="n">
        <v>4.019222774195206</v>
      </c>
    </row>
    <row r="36">
      <c r="A36" s="8" t="n">
        <v>3</v>
      </c>
      <c r="B36" s="8" t="n">
        <v>1.25</v>
      </c>
      <c r="C36" s="8" t="n">
        <v>1.491332297182935</v>
      </c>
      <c r="D36" s="8" t="n">
        <v>-1.226295530477885</v>
      </c>
      <c r="E36" s="8" t="n">
        <v>4.208960124843754</v>
      </c>
    </row>
    <row r="37">
      <c r="A37" s="8" t="n">
        <v>4</v>
      </c>
      <c r="B37" s="8" t="n">
        <v>1.33</v>
      </c>
      <c r="C37" s="8" t="n">
        <v>1.688845923909402</v>
      </c>
      <c r="D37" s="8" t="n">
        <v>-1.028781903751418</v>
      </c>
      <c r="E37" s="8" t="n">
        <v>4.406473751570221</v>
      </c>
    </row>
    <row r="38">
      <c r="A38" s="8" t="n">
        <v>5</v>
      </c>
      <c r="B38" s="8" t="n">
        <v>1.51</v>
      </c>
      <c r="C38" s="8" t="n">
        <v>1.776400420032205</v>
      </c>
      <c r="D38" s="8" t="n">
        <v>-0.9412274076286149</v>
      </c>
      <c r="E38" s="8" t="n">
        <v>4.494028247693024</v>
      </c>
    </row>
    <row r="39">
      <c r="A39" s="8" t="n">
        <v>6</v>
      </c>
      <c r="B39" s="8" t="n">
        <v>1.5</v>
      </c>
      <c r="C39" s="8" t="n">
        <v>1.859906237076871</v>
      </c>
      <c r="D39" s="8" t="n">
        <v>-0.8577215905839488</v>
      </c>
      <c r="E39" s="8" t="n">
        <v>4.577534064737691</v>
      </c>
    </row>
    <row r="40">
      <c r="A40" s="8" t="n">
        <v>7</v>
      </c>
      <c r="B40" s="8" t="n">
        <v>1.21</v>
      </c>
      <c r="C40" s="8" t="n">
        <v>1.893525475685846</v>
      </c>
      <c r="D40" s="8" t="n">
        <v>-0.8241023519749733</v>
      </c>
      <c r="E40" s="8" t="n">
        <v>4.611153303346666</v>
      </c>
    </row>
    <row r="41">
      <c r="A41" s="8" t="n">
        <v>8</v>
      </c>
      <c r="B41" s="8" t="n">
        <v>3</v>
      </c>
      <c r="C41" s="8" t="n">
        <v>1.931971671160475</v>
      </c>
      <c r="D41" s="8" t="n">
        <v>-0.7856561565003446</v>
      </c>
      <c r="E41" s="8" t="n">
        <v>4.649599498821295</v>
      </c>
    </row>
    <row r="42">
      <c r="A42" s="8" t="n">
        <v>9</v>
      </c>
      <c r="B42" s="8" t="n">
        <v>1.7</v>
      </c>
      <c r="C42" s="8" t="n">
        <v>1.968312613979006</v>
      </c>
      <c r="D42" s="8" t="n">
        <v>-0.749315213681814</v>
      </c>
      <c r="E42" s="8" t="n">
        <v>4.685940441639826</v>
      </c>
    </row>
    <row r="43">
      <c r="A43" s="8" t="n">
        <v>10</v>
      </c>
      <c r="B43" s="8" t="n">
        <v>1.41</v>
      </c>
      <c r="C43" s="8" t="n">
        <v>1.996189584089917</v>
      </c>
      <c r="D43" s="8" t="n">
        <v>-0.7214382435709028</v>
      </c>
      <c r="E43" s="8" t="n">
        <v>4.713817411750736</v>
      </c>
    </row>
    <row r="44">
      <c r="A44" s="8" t="n">
        <v>11</v>
      </c>
      <c r="B44" s="8" t="n">
        <v>1.2</v>
      </c>
      <c r="C44" s="8" t="n">
        <v>2.038392457952455</v>
      </c>
      <c r="D44" s="8" t="n">
        <v>-0.6792353697083646</v>
      </c>
      <c r="E44" s="8" t="n">
        <v>4.756020285613275</v>
      </c>
    </row>
    <row r="45">
      <c r="A45" s="8" t="n">
        <v>12</v>
      </c>
      <c r="B45" s="8" t="n">
        <v>1.95</v>
      </c>
      <c r="C45" s="8" t="n">
        <v>2.1728527071833</v>
      </c>
      <c r="D45" s="8" t="n">
        <v>-0.5447751204775195</v>
      </c>
      <c r="E45" s="8" t="n">
        <v>4.890480534844119</v>
      </c>
    </row>
    <row r="46">
      <c r="A46" s="8" t="n">
        <v>13</v>
      </c>
      <c r="B46" s="8" t="n">
        <v>2</v>
      </c>
      <c r="C46" s="8" t="n">
        <v>2.227946797949057</v>
      </c>
      <c r="D46" s="8" t="n">
        <v>-0.4896810297117624</v>
      </c>
      <c r="E46" s="8" t="n">
        <v>4.945574625609877</v>
      </c>
    </row>
    <row r="47">
      <c r="A47" s="8" t="n">
        <v>14</v>
      </c>
      <c r="B47" s="8" t="n">
        <v>2.3</v>
      </c>
      <c r="C47" s="8" t="n">
        <v>2.460915315263744</v>
      </c>
      <c r="D47" s="8" t="n">
        <v>-0.2567125123970753</v>
      </c>
      <c r="E47" s="8" t="n">
        <v>5.178543142924564</v>
      </c>
    </row>
    <row r="48">
      <c r="A48" s="8" t="n">
        <v>15</v>
      </c>
      <c r="B48" s="8" t="n">
        <v>1.8</v>
      </c>
      <c r="C48" s="8" t="n">
        <v>2.518141724820265</v>
      </c>
      <c r="D48" s="8" t="n">
        <v>-0.199486102840555</v>
      </c>
      <c r="E48" s="8" t="n">
        <v>5.235769552481084</v>
      </c>
    </row>
    <row r="49">
      <c r="A49" s="8" t="n">
        <v>16</v>
      </c>
      <c r="B49" s="8" t="n">
        <v>2.9</v>
      </c>
      <c r="C49" s="8" t="n">
        <v>2.638735098466471</v>
      </c>
      <c r="D49" s="8" t="n">
        <v>-0.07889272919434909</v>
      </c>
      <c r="E49" s="8" t="n">
        <v>5.35636292612729</v>
      </c>
    </row>
    <row r="50">
      <c r="A50" s="8" t="n">
        <v>17</v>
      </c>
      <c r="B50" s="8" t="n">
        <v>3.7</v>
      </c>
      <c r="C50" s="8" t="n">
        <v>2.785725722181343</v>
      </c>
      <c r="D50" s="8" t="n">
        <v>0.06809789452052373</v>
      </c>
      <c r="E50" s="8" t="n">
        <v>5.503353549842164</v>
      </c>
    </row>
    <row r="51">
      <c r="A51" s="8" t="n">
        <v>18</v>
      </c>
      <c r="B51" s="8" t="n">
        <v>5</v>
      </c>
      <c r="C51" s="8" t="n">
        <v>2.826631374533914</v>
      </c>
      <c r="D51" s="8" t="n">
        <v>0.1090035468730943</v>
      </c>
      <c r="E51" s="8" t="n">
        <v>5.544259202194734</v>
      </c>
    </row>
    <row r="52">
      <c r="A52" s="8" t="n">
        <v>19</v>
      </c>
      <c r="B52" s="8" t="n">
        <v>2.52</v>
      </c>
      <c r="C52" s="8" t="n">
        <v>2.893872465509873</v>
      </c>
      <c r="D52" s="8" t="n">
        <v>0.1762446378490536</v>
      </c>
      <c r="E52" s="8" t="n">
        <v>5.611500293170693</v>
      </c>
    </row>
    <row r="53">
      <c r="A53" s="8" t="n">
        <v>20</v>
      </c>
      <c r="B53" s="8" t="n">
        <v>5</v>
      </c>
      <c r="C53" s="8" t="n">
        <v>2.915499526997999</v>
      </c>
      <c r="D53" s="8" t="n">
        <v>0.197871699337179</v>
      </c>
      <c r="E53" s="8" t="n">
        <v>5.633127354658818</v>
      </c>
    </row>
    <row r="54">
      <c r="A54" s="8" t="n">
        <v>21</v>
      </c>
      <c r="B54" s="8" t="n">
        <v>3.1</v>
      </c>
      <c r="C54" s="8" t="n">
        <v>2.930705276683697</v>
      </c>
      <c r="D54" s="8" t="n">
        <v>0.2130774490228768</v>
      </c>
      <c r="E54" s="8" t="n">
        <v>5.648333104344516</v>
      </c>
    </row>
    <row r="55">
      <c r="A55" s="8" t="n">
        <v>22</v>
      </c>
      <c r="B55" s="8" t="n">
        <v>1.5</v>
      </c>
      <c r="C55" s="8" t="n">
        <v>3.098650231201839</v>
      </c>
      <c r="D55" s="8" t="n">
        <v>0.3810224035410195</v>
      </c>
      <c r="E55" s="8" t="n">
        <v>5.816278058862659</v>
      </c>
    </row>
    <row r="56">
      <c r="A56" s="8" t="n">
        <v>23</v>
      </c>
      <c r="B56" s="8" t="n">
        <v>4</v>
      </c>
      <c r="C56" s="8" t="n">
        <v>3.313001429224663</v>
      </c>
      <c r="D56" s="8" t="n">
        <v>0.5953736015638431</v>
      </c>
      <c r="E56" s="8" t="n">
        <v>6.030629256885483</v>
      </c>
    </row>
    <row r="57">
      <c r="A57" s="8" t="n">
        <v>24</v>
      </c>
      <c r="B57" s="8" t="n">
        <v>7.54</v>
      </c>
      <c r="C57" s="8" t="n">
        <v>3.832608075844028</v>
      </c>
      <c r="D57" s="8" t="n">
        <v>1.114980248183208</v>
      </c>
      <c r="E57" s="8" t="n">
        <v>6.550235903504847</v>
      </c>
    </row>
    <row r="58">
      <c r="A58" s="8" t="n">
        <v>25</v>
      </c>
      <c r="B58" s="8" t="n">
        <v>5</v>
      </c>
      <c r="C58" s="8" t="n">
        <v>4.526704862574979</v>
      </c>
      <c r="D58" s="8" t="n">
        <v>1.809077034914159</v>
      </c>
      <c r="E58" s="8" t="n">
        <v>7.244332690235799</v>
      </c>
    </row>
    <row r="59">
      <c r="A59" s="8" t="n">
        <v>26</v>
      </c>
      <c r="B59" s="8" t="n">
        <v>82</v>
      </c>
      <c r="C59" s="8" t="n">
        <v>5.785697034421844</v>
      </c>
      <c r="D59" s="8" t="n">
        <v>3.068069206761024</v>
      </c>
      <c r="E59" s="8" t="n">
        <v>8.503324862082664</v>
      </c>
    </row>
  </sheetData>
  <mergeCells count="4">
    <mergeCell ref="A4:H4"/>
    <mergeCell ref="A3:H3"/>
    <mergeCell ref="A12:G12"/>
    <mergeCell ref="A10:H10"/>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H57"/>
  <sheetViews>
    <sheetView showGridLines="0" workbookViewId="0">
      <selection activeCell="A1" sqref="A1"/>
    </sheetView>
  </sheetViews>
  <sheetFormatPr baseColWidth="8" defaultRowHeight="15"/>
  <cols>
    <col width="42" customWidth="1" min="1" max="1"/>
    <col width="12" customWidth="1" min="2" max="2"/>
    <col width="14" customWidth="1" min="3" max="3"/>
    <col width="12" customWidth="1" min="4" max="4"/>
    <col width="14" customWidth="1" min="5" max="5"/>
    <col width="10" customWidth="1" min="6" max="6"/>
    <col width="12" customWidth="1" min="7" max="7"/>
  </cols>
  <sheetData>
    <row r="1">
      <c r="A1" s="1" t="inlineStr">
        <is>
          <t>GradientBoosting -- candidate uncertainty methods on TT_IB_LB</t>
        </is>
      </c>
    </row>
    <row r="2">
      <c r="A2" s="2" t="inlineStr">
        <is>
          <t>n_train=103, n_test=26 (held out, same 80/20 split as every other family)</t>
        </is>
      </c>
    </row>
    <row r="3" ht="30" customHeight="1">
      <c r="A3" s="3" t="inlineStr">
        <is>
          <t>Small-sample caveat (mentor, 1-Sep): n_test=26 means coverage moves in ~3.8pp steps -- the 95% Wilson CI column shows how much overlap there really is between these 3 methods before treating small gaps as decisive.</t>
        </is>
      </c>
    </row>
    <row r="4" ht="45" customHeight="1">
      <c r="A4" s="3" t="inlineStr">
        <is>
          <t>Considered (mentor's email) but NOT tested here: NGBoost / PGBM-style native probabilistic boosting (packages not installed); IBUG (Brophy 2022) -- no library, would need a from-scratch implementation of that paper's method; LoBoost (Santos 2026) -- same issue, a very recent method with no available implementation</t>
        </is>
      </c>
    </row>
    <row r="5">
      <c r="A5" s="7" t="inlineStr">
        <is>
          <t>Method</t>
        </is>
      </c>
      <c r="B5" s="7" t="inlineStr">
        <is>
          <t>Coverage</t>
        </is>
      </c>
      <c r="C5" s="7" t="inlineStr">
        <is>
          <t>95% Wilson CI</t>
        </is>
      </c>
      <c r="D5" s="7" t="inlineStr">
        <is>
          <t>Nominal Target</t>
        </is>
      </c>
      <c r="E5" s="7" t="inlineStr">
        <is>
          <t>Mean Width</t>
        </is>
      </c>
      <c r="F5" s="7" t="inlineStr">
        <is>
          <t>Median Width</t>
        </is>
      </c>
      <c r="G5" s="7" t="inlineStr">
        <is>
          <t>RMSE</t>
        </is>
      </c>
      <c r="H5" s="7" t="inlineStr">
        <is>
          <t>Verdict</t>
        </is>
      </c>
    </row>
    <row r="6">
      <c r="A6" s="8" t="inlineStr">
        <is>
          <t>1. Split conformal (default)</t>
        </is>
      </c>
      <c r="B6" s="8" t="n">
        <v>0.962</v>
      </c>
      <c r="C6" s="8" t="inlineStr">
        <is>
          <t>[0.811, 0.993]</t>
        </is>
      </c>
      <c r="D6" s="8" t="n">
        <v>0.9</v>
      </c>
      <c r="E6" s="8" t="n">
        <v>122.1857</v>
      </c>
      <c r="F6" s="8" t="n">
        <v>122.1857</v>
      </c>
      <c r="G6" s="8" t="n">
        <v>31.1793</v>
      </c>
      <c r="H6" s="8" t="inlineStr">
        <is>
          <t>Not chosen</t>
        </is>
      </c>
    </row>
    <row r="7">
      <c r="A7" s="9" t="inlineStr">
        <is>
          <t>2. CV+ (jackknife+/CV+ family, mapie)</t>
        </is>
      </c>
      <c r="B7" s="9" t="n">
        <v>0.962</v>
      </c>
      <c r="C7" s="9" t="inlineStr">
        <is>
          <t>[0.811, 0.993]</t>
        </is>
      </c>
      <c r="D7" s="9" t="n">
        <v>0.9</v>
      </c>
      <c r="E7" s="9" t="n">
        <v>113.639</v>
      </c>
      <c r="F7" s="9" t="n">
        <v>113.417</v>
      </c>
      <c r="G7" s="9" t="n">
        <v>22.4497</v>
      </c>
      <c r="H7" s="9" t="inlineStr">
        <is>
          <t>CHOSEN</t>
        </is>
      </c>
    </row>
    <row r="8">
      <c r="A8" s="10" t="inlineStr">
        <is>
          <t>3. Native quantile regression (loss='quantile')</t>
        </is>
      </c>
      <c r="B8" s="10" t="n">
        <v>0.577</v>
      </c>
      <c r="C8" s="10" t="inlineStr">
        <is>
          <t>[0.389, 0.745]</t>
        </is>
      </c>
      <c r="D8" s="10" t="n">
        <v>0.9</v>
      </c>
      <c r="E8" s="10" t="n">
        <v>90.471</v>
      </c>
      <c r="F8" s="10" t="n">
        <v>88.1031</v>
      </c>
      <c r="G8" s="10" t="n">
        <v>22.4497</v>
      </c>
      <c r="H8" s="10" t="inlineStr">
        <is>
          <t>Rejected</t>
        </is>
      </c>
    </row>
    <row r="10" ht="45" customHeight="1">
      <c r="A10" s="3" t="inlineStr">
        <is>
          <t>Why: CV+ matches split conformal's coverage (96%) with a tighter interval (114 vs 122) AND a notably better point prediction (RMSE 22.4 vs 31.2). Native quantile regression rejected: only 58% coverage, badly overconfident.</t>
        </is>
      </c>
    </row>
    <row r="30">
      <c r="A30" s="2" t="inlineStr">
        <is>
          <t>Chosen method detail: 2. CV+ (jackknife+/CV+ family, mapie) (sorted by predicted mean)</t>
        </is>
      </c>
    </row>
    <row r="31">
      <c r="A31" s="7" t="inlineStr">
        <is>
          <t>Rank</t>
        </is>
      </c>
      <c r="B31" s="7" t="inlineStr">
        <is>
          <t>True Value</t>
        </is>
      </c>
      <c r="C31" s="7" t="inlineStr">
        <is>
          <t>Predicted Mean</t>
        </is>
      </c>
      <c r="D31" s="7" t="inlineStr">
        <is>
          <t>Lower</t>
        </is>
      </c>
      <c r="E31" s="7" t="inlineStr">
        <is>
          <t>Upper</t>
        </is>
      </c>
    </row>
    <row r="32">
      <c r="A32" s="8" t="n">
        <v>1</v>
      </c>
      <c r="B32" s="8" t="n">
        <v>27</v>
      </c>
      <c r="C32" s="8" t="n">
        <v>29.41301542864571</v>
      </c>
      <c r="D32" s="8" t="n">
        <v>-26.73549592262686</v>
      </c>
      <c r="E32" s="8" t="n">
        <v>86.60235755695423</v>
      </c>
    </row>
    <row r="33">
      <c r="A33" s="8" t="n">
        <v>2</v>
      </c>
      <c r="B33" s="8" t="n">
        <v>27</v>
      </c>
      <c r="C33" s="8" t="n">
        <v>35.35575764407589</v>
      </c>
      <c r="D33" s="8" t="n">
        <v>-10.09366844817048</v>
      </c>
      <c r="E33" s="8" t="n">
        <v>103.5677665304584</v>
      </c>
    </row>
    <row r="34">
      <c r="A34" s="8" t="n">
        <v>3</v>
      </c>
      <c r="B34" s="8" t="n">
        <v>27</v>
      </c>
      <c r="C34" s="8" t="n">
        <v>36.78754332728178</v>
      </c>
      <c r="D34" s="8" t="n">
        <v>-17.50697007917249</v>
      </c>
      <c r="E34" s="8" t="n">
        <v>90.23674459498584</v>
      </c>
    </row>
    <row r="35">
      <c r="A35" s="8" t="n">
        <v>4</v>
      </c>
      <c r="B35" s="8" t="n">
        <v>27</v>
      </c>
      <c r="C35" s="8" t="n">
        <v>38.51348205837907</v>
      </c>
      <c r="D35" s="8" t="n">
        <v>-18.91447401016929</v>
      </c>
      <c r="E35" s="8" t="n">
        <v>99.59880163471645</v>
      </c>
    </row>
    <row r="36">
      <c r="A36" s="8" t="n">
        <v>5</v>
      </c>
      <c r="B36" s="8" t="n">
        <v>28</v>
      </c>
      <c r="C36" s="8" t="n">
        <v>40.86113621798816</v>
      </c>
      <c r="D36" s="8" t="n">
        <v>-13.50802078708172</v>
      </c>
      <c r="E36" s="8" t="n">
        <v>98.19523507080692</v>
      </c>
    </row>
    <row r="37">
      <c r="A37" s="8" t="n">
        <v>6</v>
      </c>
      <c r="B37" s="8" t="n">
        <v>28</v>
      </c>
      <c r="C37" s="8" t="n">
        <v>41.44287680979628</v>
      </c>
      <c r="D37" s="8" t="n">
        <v>-14.59130965399353</v>
      </c>
      <c r="E37" s="8" t="n">
        <v>94.8502171614421</v>
      </c>
    </row>
    <row r="38">
      <c r="A38" s="8" t="n">
        <v>7</v>
      </c>
      <c r="B38" s="8" t="n">
        <v>66</v>
      </c>
      <c r="C38" s="8" t="n">
        <v>43.94510347783276</v>
      </c>
      <c r="D38" s="8" t="n">
        <v>-3.527863209468201</v>
      </c>
      <c r="E38" s="8" t="n">
        <v>108.3725516958975</v>
      </c>
    </row>
    <row r="39">
      <c r="A39" s="8" t="n">
        <v>8</v>
      </c>
      <c r="B39" s="8" t="n">
        <v>28</v>
      </c>
      <c r="C39" s="8" t="n">
        <v>47.95744375403621</v>
      </c>
      <c r="D39" s="8" t="n">
        <v>0.3352735454264462</v>
      </c>
      <c r="E39" s="8" t="n">
        <v>122.2905785283662</v>
      </c>
    </row>
    <row r="40">
      <c r="A40" s="8" t="n">
        <v>9</v>
      </c>
      <c r="B40" s="8" t="n">
        <v>26.5</v>
      </c>
      <c r="C40" s="8" t="n">
        <v>49.75600935802126</v>
      </c>
      <c r="D40" s="8" t="n">
        <v>-5.440087239422127</v>
      </c>
      <c r="E40" s="8" t="n">
        <v>105.6306419280753</v>
      </c>
    </row>
    <row r="41">
      <c r="A41" s="8" t="n">
        <v>10</v>
      </c>
      <c r="B41" s="8" t="n">
        <v>70</v>
      </c>
      <c r="C41" s="8" t="n">
        <v>51.56516539370389</v>
      </c>
      <c r="D41" s="8" t="n">
        <v>9.252975950636618</v>
      </c>
      <c r="E41" s="8" t="n">
        <v>132.4070820438952</v>
      </c>
    </row>
    <row r="42">
      <c r="A42" s="8" t="n">
        <v>11</v>
      </c>
      <c r="B42" s="8" t="n">
        <v>28</v>
      </c>
      <c r="C42" s="8" t="n">
        <v>52.90760541894373</v>
      </c>
      <c r="D42" s="8" t="n">
        <v>5.152030114817748</v>
      </c>
      <c r="E42" s="8" t="n">
        <v>124.164396047351</v>
      </c>
    </row>
    <row r="43">
      <c r="A43" s="8" t="n">
        <v>12</v>
      </c>
      <c r="B43" s="8" t="n">
        <v>27</v>
      </c>
      <c r="C43" s="8" t="n">
        <v>58.08658377034734</v>
      </c>
      <c r="D43" s="8" t="n">
        <v>6.415243703293967</v>
      </c>
      <c r="E43" s="8" t="n">
        <v>114.1589583774523</v>
      </c>
    </row>
    <row r="44">
      <c r="A44" s="8" t="n">
        <v>13</v>
      </c>
      <c r="B44" s="8" t="n">
        <v>27</v>
      </c>
      <c r="C44" s="8" t="n">
        <v>58.69020075143715</v>
      </c>
      <c r="D44" s="8" t="n">
        <v>8.23803654072394</v>
      </c>
      <c r="E44" s="8" t="n">
        <v>116.1274525264937</v>
      </c>
    </row>
    <row r="45">
      <c r="A45" s="8" t="n">
        <v>14</v>
      </c>
      <c r="B45" s="8" t="n">
        <v>73</v>
      </c>
      <c r="C45" s="8" t="n">
        <v>61.54036980194316</v>
      </c>
      <c r="D45" s="8" t="n">
        <v>12.11036293350291</v>
      </c>
      <c r="E45" s="8" t="n">
        <v>127.4229460621932</v>
      </c>
    </row>
    <row r="46">
      <c r="A46" s="8" t="n">
        <v>15</v>
      </c>
      <c r="B46" s="8" t="n">
        <v>62</v>
      </c>
      <c r="C46" s="8" t="n">
        <v>62.91544347073847</v>
      </c>
      <c r="D46" s="8" t="n">
        <v>12.55274026852277</v>
      </c>
      <c r="E46" s="8" t="n">
        <v>127.0753878905591</v>
      </c>
    </row>
    <row r="47">
      <c r="A47" s="8" t="n">
        <v>16</v>
      </c>
      <c r="B47" s="8" t="n">
        <v>49</v>
      </c>
      <c r="C47" s="8" t="n">
        <v>63.69698750864807</v>
      </c>
      <c r="D47" s="8" t="n">
        <v>16.36149084230557</v>
      </c>
      <c r="E47" s="8" t="n">
        <v>130.7978766341596</v>
      </c>
    </row>
    <row r="48">
      <c r="A48" s="8" t="n">
        <v>17</v>
      </c>
      <c r="B48" s="8" t="n">
        <v>71</v>
      </c>
      <c r="C48" s="8" t="n">
        <v>69.72665675346438</v>
      </c>
      <c r="D48" s="8" t="n">
        <v>12.79728221350818</v>
      </c>
      <c r="E48" s="8" t="n">
        <v>131.1903053349169</v>
      </c>
    </row>
    <row r="49">
      <c r="A49" s="8" t="n">
        <v>18</v>
      </c>
      <c r="B49" s="8" t="n">
        <v>98</v>
      </c>
      <c r="C49" s="8" t="n">
        <v>78.93565236263538</v>
      </c>
      <c r="D49" s="8" t="n">
        <v>29.77456085194669</v>
      </c>
      <c r="E49" s="8" t="n">
        <v>142.0439520469719</v>
      </c>
    </row>
    <row r="50">
      <c r="A50" s="8" t="n">
        <v>19</v>
      </c>
      <c r="B50" s="8" t="n">
        <v>99</v>
      </c>
      <c r="C50" s="8" t="n">
        <v>96.12703927603251</v>
      </c>
      <c r="D50" s="8" t="n">
        <v>33.26802550914427</v>
      </c>
      <c r="E50" s="8" t="n">
        <v>146.7642456044664</v>
      </c>
    </row>
    <row r="51">
      <c r="A51" s="8" t="n">
        <v>20</v>
      </c>
      <c r="B51" s="8" t="n">
        <v>128</v>
      </c>
      <c r="C51" s="8" t="n">
        <v>101.3147106803631</v>
      </c>
      <c r="D51" s="8" t="n">
        <v>37.36761339361172</v>
      </c>
      <c r="E51" s="8" t="n">
        <v>150.3296742291815</v>
      </c>
    </row>
    <row r="52">
      <c r="A52" s="8" t="n">
        <v>21</v>
      </c>
      <c r="B52" s="8" t="n">
        <v>93.2</v>
      </c>
      <c r="C52" s="8" t="n">
        <v>104.9249629578058</v>
      </c>
      <c r="D52" s="8" t="n">
        <v>27.46699929745289</v>
      </c>
      <c r="E52" s="8" t="n">
        <v>143.4910309378637</v>
      </c>
    </row>
    <row r="53">
      <c r="A53" s="8" t="n">
        <v>22</v>
      </c>
      <c r="B53" s="8" t="n">
        <v>127</v>
      </c>
      <c r="C53" s="8" t="n">
        <v>108.1681081699518</v>
      </c>
      <c r="D53" s="8" t="n">
        <v>49.82989044495076</v>
      </c>
      <c r="E53" s="8" t="n">
        <v>158.7312821753056</v>
      </c>
    </row>
    <row r="54">
      <c r="A54" s="8" t="n">
        <v>23</v>
      </c>
      <c r="B54" s="8" t="n">
        <v>123</v>
      </c>
      <c r="C54" s="8" t="n">
        <v>113.2696348671096</v>
      </c>
      <c r="D54" s="8" t="n">
        <v>40.89333499557372</v>
      </c>
      <c r="E54" s="8" t="n">
        <v>156.8461470814268</v>
      </c>
    </row>
    <row r="55">
      <c r="A55" s="8" t="n">
        <v>24</v>
      </c>
      <c r="B55" s="8" t="n">
        <v>153.5</v>
      </c>
      <c r="C55" s="8" t="n">
        <v>118.4908628888649</v>
      </c>
      <c r="D55" s="8" t="n">
        <v>50.57627054126624</v>
      </c>
      <c r="E55" s="8" t="n">
        <v>159.6194262754069</v>
      </c>
    </row>
    <row r="56">
      <c r="A56" s="8" t="n">
        <v>25</v>
      </c>
      <c r="B56" s="8" t="n">
        <v>128</v>
      </c>
      <c r="C56" s="8" t="n">
        <v>125.3695596249384</v>
      </c>
      <c r="D56" s="8" t="n">
        <v>55.53036452686955</v>
      </c>
      <c r="E56" s="8" t="n">
        <v>169.479267843607</v>
      </c>
    </row>
    <row r="57">
      <c r="A57" s="8" t="n">
        <v>26</v>
      </c>
      <c r="B57" s="8" t="n">
        <v>230</v>
      </c>
      <c r="C57" s="8" t="n">
        <v>160.399648669291</v>
      </c>
      <c r="D57" s="8" t="n">
        <v>97.48078792243481</v>
      </c>
      <c r="E57" s="8" t="n">
        <v>209.7041372892081</v>
      </c>
    </row>
  </sheetData>
  <mergeCells count="3">
    <mergeCell ref="A4:H4"/>
    <mergeCell ref="A3:H3"/>
    <mergeCell ref="A10:G10"/>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D10"/>
  <sheetViews>
    <sheetView showGridLines="0" workbookViewId="0">
      <pane ySplit="4" topLeftCell="A5" activePane="bottomLeft" state="frozen"/>
      <selection pane="bottomLeft" activeCell="A1" sqref="A1"/>
    </sheetView>
  </sheetViews>
  <sheetFormatPr baseColWidth="8" defaultRowHeight="15"/>
  <cols>
    <col width="18" customWidth="1" min="1" max="1"/>
    <col width="40" customWidth="1" min="2" max="2"/>
    <col width="40" customWidth="1" min="3" max="3"/>
    <col width="70" customWidth="1" min="4" max="4"/>
  </cols>
  <sheetData>
    <row r="1">
      <c r="A1" s="1" t="inlineStr">
        <is>
          <t>Methods Considered (research email) vs. Actually Tested</t>
        </is>
      </c>
    </row>
    <row r="2" ht="30" customHeight="1">
      <c r="A2" s="3" t="inlineStr">
        <is>
          <t>The original research list named more candidate methods per family than could be implemented and tested by the freeze. This sheet makes that gap explicit rather than implying every named method has results behind it.</t>
        </is>
      </c>
    </row>
    <row r="4">
      <c r="A4" s="4" t="inlineStr">
        <is>
          <t>Family</t>
        </is>
      </c>
      <c r="B4" s="4" t="inlineStr">
        <is>
          <t>Tested (has real results)</t>
        </is>
      </c>
      <c r="C4" s="4" t="inlineStr">
        <is>
          <t>Considered but NOT tested</t>
        </is>
      </c>
      <c r="D4" s="4" t="inlineStr">
        <is>
          <t>Why not tested</t>
        </is>
      </c>
    </row>
    <row r="5" ht="60" customHeight="1">
      <c r="A5" s="6" t="inlineStr">
        <is>
          <t>GPR (Matern)</t>
        </is>
      </c>
      <c r="B5" s="6" t="inlineStr">
        <is>
          <t>Native posterior SD; Conformalized GPR (split conformal); Bootstrap ensemble</t>
        </is>
      </c>
      <c r="C5" s="6" t="inlineStr">
        <is>
          <t>Rigorous GP bounds</t>
        </is>
      </c>
      <c r="D5" s="6" t="inlineStr">
        <is>
          <t>Rigorous GP bounds (Fiedler et al. 2021, RKHS-norm-based) -- no library implementation available; the method itself is a bespoke research construction, not a configurable option of an existing package.</t>
        </is>
      </c>
    </row>
    <row r="6" ht="60" customHeight="1">
      <c r="A6" s="6" t="inlineStr">
        <is>
          <t>ExtraTrees</t>
        </is>
      </c>
      <c r="B6" s="6" t="inlineStr">
        <is>
          <t>Native ensemble SD (bagging variance); Split conformal; CV+ (jackknife+/CV+ family, mapie)</t>
        </is>
      </c>
      <c r="C6" s="6" t="inlineStr">
        <is>
          <t>Out-of-bag; Quantile-forest-style intervals; True jackknife+-after-bootstrap</t>
        </is>
      </c>
      <c r="D6" s="6" t="inlineStr">
        <is>
          <t>Out-of-bag (OOB) intervals specifically (distinct from the tested ensemble-SD -- OOB uses only each point's out-of-bag trees, not the full ensemble) | Quantile-forest-style intervals (needs the quantile-forest package, not installed) | True jackknife+-after-bootstrap (mapie's CV+ here uses 5-fold CV, a related but not identical resampling scheme)</t>
        </is>
      </c>
    </row>
    <row r="7" ht="60" customHeight="1">
      <c r="A7" s="6" t="inlineStr">
        <is>
          <t>ElasticNet</t>
        </is>
      </c>
      <c r="B7" s="6" t="inlineStr">
        <is>
          <t>Split conformal (default); CV+ (jackknife+/CV+ family, mapie); Bootstrap-calibrated ensemble</t>
        </is>
      </c>
      <c r="C7" s="6" t="inlineStr">
        <is>
          <t>Local/Mondrian conformal</t>
        </is>
      </c>
      <c r="D7" s="6" t="inlineStr">
        <is>
          <t>Local/Mondrian conformal (locally-weighted calibration by input region) -- not available in mapie's stable API at the installed version; would need a custom implementation</t>
        </is>
      </c>
    </row>
    <row r="8" ht="60" customHeight="1">
      <c r="A8" s="6" t="inlineStr">
        <is>
          <t>Lasso</t>
        </is>
      </c>
      <c r="B8" s="6" t="inlineStr">
        <is>
          <t>Split conformal (default); CV+ (jackknife+/CV+ family, mapie); Bootstrap-calibrated ensemble</t>
        </is>
      </c>
      <c r="C8" s="6" t="inlineStr">
        <is>
          <t>(none -- all named methods were tested)</t>
        </is>
      </c>
      <c r="D8" s="6" t="inlineStr">
        <is>
          <t>--</t>
        </is>
      </c>
    </row>
    <row r="9" ht="60" customHeight="1">
      <c r="A9" s="6" t="inlineStr">
        <is>
          <t>SVR (RBF)</t>
        </is>
      </c>
      <c r="B9" s="6" t="inlineStr">
        <is>
          <t>Split conformal (default); Bootstrap/subsample ensemble; CV+ (jackknife+/CV+ family, mapie)</t>
        </is>
      </c>
      <c r="C9" s="6" t="inlineStr">
        <is>
          <t>True conformalized quantile regression</t>
        </is>
      </c>
      <c r="D9" s="6" t="inlineStr">
        <is>
          <t>True conformalized quantile regression (CQR) -- needs a quantile-loss SVR variant; standard sklearn SVR doesn't expose one, so CV+ was tested as the closest available substitute</t>
        </is>
      </c>
    </row>
    <row r="10" ht="60" customHeight="1">
      <c r="A10" s="6" t="inlineStr">
        <is>
          <t>GradientBoosting</t>
        </is>
      </c>
      <c r="B10" s="6" t="inlineStr">
        <is>
          <t>Split conformal (default); CV+ (jackknife+/CV+ family, mapie); Native quantile regression (loss='quantile')</t>
        </is>
      </c>
      <c r="C10" s="6" t="inlineStr">
        <is>
          <t>NGBoost / PGBM-style native probabilistic boosting; IBUG; LoBoost</t>
        </is>
      </c>
      <c r="D10" s="6" t="inlineStr">
        <is>
          <t>NGBoost / PGBM-style native probabilistic boosting (packages not installed) | IBUG (Brophy 2022) -- no library, would need a from-scratch implementation of that paper's method | LoBoost (Santos 2026) -- same issue, a very recent method with no available implementation</t>
        </is>
      </c>
    </row>
  </sheetData>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
  <dc:title>UQ Method Benchmark</dc:title>
  <dcterms:created xsi:type="dcterms:W3CDTF">2026-09-01T17:40:02Z</dcterms:created>
  <dcterms:modified xsi:type="dcterms:W3CDTF">2026-09-01T17:40:02Z</dcterms:modified>
  <cp:lastModifiedBy/>
</cp:coreProperties>
</file>