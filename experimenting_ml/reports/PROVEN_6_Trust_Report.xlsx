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ndidate Flagg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E599"/>
        <bgColor rgb="00FFE5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PROVEN_6: coverage per KPI (chosen method) vs 90%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'Summary'!B19</f>
            </strRef>
          </tx>
          <spPr>
            <a:ln>
              <a:prstDash val="solid"/>
            </a:ln>
          </spPr>
          <cat>
            <numRef>
              <f>'Summary'!$A$20:$A$25</f>
            </numRef>
          </cat>
          <val>
            <numRef>
              <f>'Summary'!$B$20:$B$25</f>
            </numRef>
          </val>
        </ser>
        <ser>
          <idx val="1"/>
          <order val="1"/>
          <tx>
            <strRef>
              <f>'Summary'!C19</f>
            </strRef>
          </tx>
          <spPr>
            <a:ln>
              <a:prstDash val="solid"/>
            </a:ln>
          </spPr>
          <cat>
            <numRef>
              <f>'Summary'!$A$20:$A$25</f>
            </numRef>
          </cat>
          <val>
            <numRef>
              <f>'Summary'!$C$20:$C$25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6" customWidth="1" min="4" max="4"/>
    <col width="14" customWidth="1" min="5" max="5"/>
    <col width="20" customWidth="1" min="6" max="6"/>
    <col width="30" customWidth="1" min="7" max="7"/>
  </cols>
  <sheetData>
    <row r="1">
      <c r="A1" s="1" t="inlineStr">
        <is>
          <t>PROVEN_6 -- Trust &amp; Simulation-Need Report</t>
        </is>
      </c>
    </row>
    <row r="2">
      <c r="A2" s="2" t="inlineStr">
        <is>
          <t>Left half: empirical coverage of each KPI's PROVEN, benchmarked UQ method (UQ_Method_Benchmark.xlsx, 29-Aug) on real held-out data. Right half: live flagging decision on 25 real candidate points -- which can be trusted as-is vs. which need a real AnyLogic simulation.</t>
        </is>
      </c>
    </row>
    <row r="3">
      <c r="A3" s="2" t="inlineStr">
        <is>
          <t>Live run: round_20260829_181116, seed=42, quantile=0.9, max_batch_size=10. Full commands: spec.md section 8.</t>
        </is>
      </c>
    </row>
    <row r="4" ht="45" customHeight="1">
      <c r="A4" s="3" t="inlineStr">
        <is>
          <t>How thresholds were set (mentor question, 1-Sep): each KPI's threshold is its OWN 90th percentile of trust scores computed on the 129 real training points themselves (in-sample calibration -- spec.md section 5.1's documented v0 simplification, not a held-out fold). By construction that means ~13 of the 129 training points would themselves sit above their own threshold -- so the cutoff is not a hard wall, and a candidate landing just over it is not a coding edge case, it is the calibration quantile doing exactly what a 90th-percentile cutoff does.</t>
        </is>
      </c>
    </row>
    <row r="5" ht="60" customHeight="1">
      <c r="A5" s="3" t="inlineStr">
        <is>
          <t>Relation to the 30-run manual file (mentor question, 1-Sep): the 25 candidates here were generated by this repo's own v0 placeholder proposer (uniform-random within each factor's observed range, propose_random_candidates() in cli_export_manual_round.py) -- NOT the same 30 points (run IDs 130-159) in 'NOLHC Designs - AL Students Manual Run.xlsx'. Checked directly: none of this round's exported candidates' input values match any of the 30 manual-run rows even approximately, so that file is an independently-designed batch (most likely built the same way the original 129 were -- a proper NOLH design continuation -- rather than this repo's placeholder sampler). The two sets are not the same 25/30 points and should not be assumed to line up row-for-row.</t>
        </is>
      </c>
    </row>
    <row r="6" ht="60" customHeight="1">
      <c r="A6" s="9" t="inlineStr">
        <is>
          <t>Refreshed 6-Sep-2026 against the current, grown dataset (spec.md §9/§18) -- coverage numbers above are LIVE (recomputed via recalibration_check.py's validated methodology), not the original 1-Sep snapshot. Growth is uneven per KPI: wt_ob_lb is still exactly 129 rows (no real AnyLogic round has ever populated WT_OB_LB); wt_ob_a_gb_dub is 159 (item 17's 30 rows only, item 15's 10 excluded); the other 4 are the full 169. Only tt_ob_lb's fixed method (bagged_tree_native) no longer looks like the best choice under this evidence -- mapie_cv_plus is now closer to the 90% target (91.2% vs 85.3%). Flagged for mentor review, NOT changed in code -- see recalibration_check.py / cli_recalibrate_uq_methods.py.</t>
        </is>
      </c>
    </row>
    <row r="7">
      <c r="A7" s="4" t="inlineStr">
        <is>
          <t>KPI</t>
        </is>
      </c>
      <c r="B7" s="4" t="inlineStr">
        <is>
          <t>Family</t>
        </is>
      </c>
      <c r="C7" s="4" t="inlineStr">
        <is>
          <t>Chosen Method</t>
        </is>
      </c>
      <c r="D7" s="4" t="inlineStr">
        <is>
          <t>Held-out Coverage</t>
        </is>
      </c>
      <c r="E7" s="4" t="inlineStr">
        <is>
          <t>Nominal Target</t>
        </is>
      </c>
      <c r="F7" s="4" t="inlineStr">
        <is>
          <t>Candidates Flagged (of 25)</t>
        </is>
      </c>
      <c r="G7" s="4" t="inlineStr">
        <is>
          <t>Candidates Actually Sent to AnyLogic (capped at 10)</t>
        </is>
      </c>
    </row>
    <row r="8">
      <c r="A8" s="5" t="inlineStr">
        <is>
          <t>GPR (Matern)</t>
        </is>
      </c>
      <c r="B8" s="5" t="inlineStr">
        <is>
          <t>gpr_matern</t>
        </is>
      </c>
      <c r="C8" s="5" t="inlineStr">
        <is>
          <t>2. Conformalized GPR (split conformal)</t>
        </is>
      </c>
      <c r="D8" s="6" t="n">
        <v>0.923</v>
      </c>
      <c r="E8" s="5" t="n">
        <v>0.9</v>
      </c>
      <c r="F8" s="5" t="n">
        <v>6</v>
      </c>
      <c r="G8" s="5" t="n">
        <v>3</v>
      </c>
    </row>
    <row r="9">
      <c r="A9" s="5" t="inlineStr">
        <is>
          <t>ExtraTrees</t>
        </is>
      </c>
      <c r="B9" s="5" t="inlineStr">
        <is>
          <t>extra_trees</t>
        </is>
      </c>
      <c r="C9" s="5" t="inlineStr">
        <is>
          <t>1. Native ensemble SD (bagging variance)</t>
        </is>
      </c>
      <c r="D9" s="7" t="n">
        <v>0.853</v>
      </c>
      <c r="E9" s="5" t="n">
        <v>0.9</v>
      </c>
      <c r="F9" s="5" t="n">
        <v>17</v>
      </c>
      <c r="G9" s="5" t="n">
        <v>9</v>
      </c>
    </row>
    <row r="10">
      <c r="A10" s="5" t="inlineStr">
        <is>
          <t>ElasticNet</t>
        </is>
      </c>
      <c r="B10" s="5" t="inlineStr">
        <is>
          <t>elastic_net</t>
        </is>
      </c>
      <c r="C10" s="5" t="inlineStr">
        <is>
          <t>2. CV+ (jackknife+/CV+ family, mapie)</t>
        </is>
      </c>
      <c r="D10" s="6" t="n">
        <v>0.912</v>
      </c>
      <c r="E10" s="5" t="n">
        <v>0.9</v>
      </c>
      <c r="F10" s="5" t="n">
        <v>3</v>
      </c>
      <c r="G10" s="5" t="n">
        <v>2</v>
      </c>
    </row>
    <row r="11">
      <c r="A11" s="5" t="inlineStr">
        <is>
          <t>Lasso</t>
        </is>
      </c>
      <c r="B11" s="5" t="inlineStr">
        <is>
          <t>lasso</t>
        </is>
      </c>
      <c r="C11" s="5" t="inlineStr">
        <is>
          <t>1. Split conformal (default)</t>
        </is>
      </c>
      <c r="D11" s="7" t="n">
        <v>0.875</v>
      </c>
      <c r="E11" s="5" t="n">
        <v>0.9</v>
      </c>
      <c r="F11" s="5" t="n">
        <v>6</v>
      </c>
      <c r="G11" s="5" t="n">
        <v>3</v>
      </c>
    </row>
    <row r="12">
      <c r="A12" s="5" t="inlineStr">
        <is>
          <t>SVR (RBF)</t>
        </is>
      </c>
      <c r="B12" s="5" t="inlineStr">
        <is>
          <t>svr_rbf</t>
        </is>
      </c>
      <c r="C12" s="5" t="inlineStr">
        <is>
          <t>1. Split conformal (default)</t>
        </is>
      </c>
      <c r="D12" s="6" t="n">
        <v>0.882</v>
      </c>
      <c r="E12" s="5" t="n">
        <v>0.9</v>
      </c>
      <c r="F12" s="5" t="n">
        <v>6</v>
      </c>
      <c r="G12" s="5" t="n">
        <v>3</v>
      </c>
    </row>
    <row r="13">
      <c r="A13" s="5" t="inlineStr">
        <is>
          <t>GradientBoosting</t>
        </is>
      </c>
      <c r="B13" s="5" t="inlineStr">
        <is>
          <t>gradient_boosting</t>
        </is>
      </c>
      <c r="C13" s="5" t="inlineStr">
        <is>
          <t>2. CV+ (jackknife+/CV+ family, mapie)</t>
        </is>
      </c>
      <c r="D13" s="7" t="n">
        <v>0.882</v>
      </c>
      <c r="E13" s="5" t="n">
        <v>0.9</v>
      </c>
      <c r="F13" s="5" t="n">
        <v>1</v>
      </c>
      <c r="G13" s="5" t="n">
        <v>1</v>
      </c>
    </row>
    <row r="15">
      <c r="A15" s="2" t="inlineStr">
        <is>
          <t>Overall: 19 of 25 candidates flagged on at least one KPI; capped at 10 (max_batch_size) for this weekend's actual AnyLogic run.</t>
        </is>
      </c>
    </row>
    <row r="16" ht="150" customHeight="1">
      <c r="A16" s="3" t="inlineStr">
        <is>
          <t>Why TT_OB_LB dominates the flags (mentor question, 1-Sep): it tripped 17 of 25 candidates, vs. 6/6/6/3/1 for the other 5 KPIs. Confirmed by design, not a bug: the shared novelty term is identical across all 6 KPIs for a given candidate, so a KPI tripping far more often than the others must come from its own UQ term, not novelty. TT_OB_LB's chosen method is native ExtraTrees ensemble-SD (bagging variance across trees), which is LOCALLY ADAPTIVE -- it grows sharply for inputs sitting in low-density regions between training points, because individual trees' axis-aligned partitions disagree more there. The other 5 KPIs' chosen methods (conformal/CV+) produce a much more UNIFORM interval width regardless of how unusual the input looks, so only the (weaker, shared) novelty term can push them over threshold. In short: this matches the mentor's own read -- for a placeholder proposer drawing candidates independently-uniform per factor (not the structured NOLH design the real 129 points use), many candidates land in exactly the kind of low-density gap a tree ensemble's variance is built to detect. The system doing its job, not a fault.</t>
        </is>
      </c>
    </row>
    <row r="17" ht="60" customHeight="1">
      <c r="A17" s="9" t="inlineStr">
        <is>
          <t>The right-hand "Candidates Flagged"/"Sent to AnyLogic" columns and the full 'Candidate Flagging Decisions' sheet deliberately still reflect round_20260829_181116 exactly as originally exported (28-29 Aug) -- NOT regenerated against the current dataset. That round's 10 candidates are the actual, physical batch still queued for a real AnyLogic Cloud run; re-exporting a fresh batch now would create a second, different candidate set while the first is still pending, and nobody would know which one to actually run. Once round_20260829_181116 is run and ingested, the next export will naturally reflect the grown dataset.</t>
        </is>
      </c>
    </row>
    <row r="19">
      <c r="A19" t="inlineStr">
        <is>
          <t>KPI</t>
        </is>
      </c>
      <c r="B19" t="inlineStr">
        <is>
          <t>Empirical Coverage</t>
        </is>
      </c>
      <c r="C19" t="inlineStr">
        <is>
          <t>Target (0.90)</t>
        </is>
      </c>
    </row>
    <row r="20">
      <c r="A20" t="inlineStr">
        <is>
          <t>GPR (Matern)</t>
        </is>
      </c>
      <c r="B20" t="n">
        <v>0.923</v>
      </c>
      <c r="C20" t="n">
        <v>0.9</v>
      </c>
    </row>
    <row r="21">
      <c r="A21" t="inlineStr">
        <is>
          <t>ExtraTrees</t>
        </is>
      </c>
      <c r="B21" t="n">
        <v>0.853</v>
      </c>
      <c r="C21" t="n">
        <v>0.9</v>
      </c>
    </row>
    <row r="22">
      <c r="A22" t="inlineStr">
        <is>
          <t>ElasticNet</t>
        </is>
      </c>
      <c r="B22" t="n">
        <v>0.912</v>
      </c>
      <c r="C22" t="n">
        <v>0.9</v>
      </c>
    </row>
    <row r="23">
      <c r="A23" t="inlineStr">
        <is>
          <t>Lasso</t>
        </is>
      </c>
      <c r="B23" t="n">
        <v>0.875</v>
      </c>
      <c r="C23" t="n">
        <v>0.9</v>
      </c>
    </row>
    <row r="24">
      <c r="A24" t="inlineStr">
        <is>
          <t>SVR (RBF)</t>
        </is>
      </c>
      <c r="B24" t="n">
        <v>0.882</v>
      </c>
      <c r="C24" t="n">
        <v>0.9</v>
      </c>
    </row>
    <row r="25">
      <c r="A25" t="inlineStr">
        <is>
          <t>GradientBoosting</t>
        </is>
      </c>
      <c r="B25" t="n">
        <v>0.882</v>
      </c>
      <c r="C25" t="n">
        <v>0.9</v>
      </c>
    </row>
  </sheetData>
  <mergeCells count="3">
    <mergeCell ref="A16:G16"/>
    <mergeCell ref="A5:G5"/>
    <mergeCell ref="A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Live Flagging Decision -- 25 Real Candidate Points</t>
        </is>
      </c>
    </row>
    <row r="2" ht="60" customHeight="1">
      <c r="A2" s="3" t="inlineStr">
        <is>
          <t>Green = trust the ML prediction. Red = at least one KPI's trust score crossed its threshold -- needs a real AnyLogic simulation. Yellow fill in the last column = actually exported to this weekend's worklist. "Sent to AnyLogic?" meanings, spelled out (mentor question, 1-Sep): Yes = flagged AND among the 10 worst-scoring, so it's in this round's real worklist. "No (capped out)" = flagged (still needs a simulation in principle) but NOT among the worst 10, so max_batch_size=10 held it back for a future round rather than sending 19 candidates to AnyLogic Cloud in one weekend. "--" = not flagged at all, no simulation needed regardless of batch size.</t>
        </is>
      </c>
    </row>
    <row r="4">
      <c r="A4" s="4" t="inlineStr">
        <is>
          <t>run_id</t>
        </is>
      </c>
      <c r="B4" s="4" t="inlineStr">
        <is>
          <t>wt_ob_lb score</t>
        </is>
      </c>
      <c r="C4" s="4" t="inlineStr">
        <is>
          <t>tt_ob_lb score</t>
        </is>
      </c>
      <c r="D4" s="4" t="inlineStr">
        <is>
          <t>uti_cus_r score</t>
        </is>
      </c>
      <c r="E4" s="4" t="inlineStr">
        <is>
          <t>wt_ob_a_gb_dub score</t>
        </is>
      </c>
      <c r="F4" s="4" t="inlineStr">
        <is>
          <t>wt_ib_na_ross score</t>
        </is>
      </c>
      <c r="G4" s="4" t="inlineStr">
        <is>
          <t>tt_ib_lb score</t>
        </is>
      </c>
      <c r="H4" s="4" t="inlineStr">
        <is>
          <t>wt_ob_lb threshold</t>
        </is>
      </c>
      <c r="I4" s="4" t="inlineStr">
        <is>
          <t>tt_ob_lb threshold</t>
        </is>
      </c>
      <c r="J4" s="4" t="inlineStr">
        <is>
          <t>uti_cus_r threshold</t>
        </is>
      </c>
      <c r="K4" s="4" t="inlineStr">
        <is>
          <t>wt_ob_a_gb_dub threshold</t>
        </is>
      </c>
      <c r="L4" s="4" t="inlineStr">
        <is>
          <t>wt_ib_na_ross threshold</t>
        </is>
      </c>
      <c r="M4" s="4" t="inlineStr">
        <is>
          <t>tt_ib_lb threshold</t>
        </is>
      </c>
      <c r="N4" s="4" t="inlineStr">
        <is>
          <t>Decision</t>
        </is>
      </c>
      <c r="O4" s="4" t="inlineStr">
        <is>
          <t>Sent to AnyLogic?</t>
        </is>
      </c>
    </row>
    <row r="5">
      <c r="A5" s="5" t="inlineStr">
        <is>
          <t>proposed_0004</t>
        </is>
      </c>
      <c r="B5" s="5" t="n">
        <v>0.772</v>
      </c>
      <c r="C5" s="5" t="n">
        <v>3.263</v>
      </c>
      <c r="D5" s="5" t="n">
        <v>0.7788</v>
      </c>
      <c r="E5" s="5" t="n">
        <v>0.7294</v>
      </c>
      <c r="F5" s="5" t="n">
        <v>0.4641</v>
      </c>
      <c r="G5" s="5" t="n">
        <v>2.0034</v>
      </c>
      <c r="H5" s="5" t="n">
        <v>0.7679</v>
      </c>
      <c r="I5" s="5" t="n">
        <v>1.2018</v>
      </c>
      <c r="J5" s="5" t="n">
        <v>0.7904</v>
      </c>
      <c r="K5" s="5" t="n">
        <v>0.7252999999999999</v>
      </c>
      <c r="L5" s="5" t="n">
        <v>0.4599</v>
      </c>
      <c r="M5" s="5" t="n">
        <v>2.359</v>
      </c>
      <c r="N5" s="7" t="inlineStr">
        <is>
          <t>NEEDS ANYLOGIC SIMULATION</t>
        </is>
      </c>
      <c r="O5" s="8" t="inlineStr">
        <is>
          <t>Yes</t>
        </is>
      </c>
    </row>
    <row r="6">
      <c r="A6" s="5" t="inlineStr">
        <is>
          <t>proposed_0013</t>
        </is>
      </c>
      <c r="B6" s="5" t="n">
        <v>0.7667</v>
      </c>
      <c r="C6" s="5" t="n">
        <v>3.1475</v>
      </c>
      <c r="D6" s="5" t="n">
        <v>0.8066</v>
      </c>
      <c r="E6" s="5" t="n">
        <v>0.7241</v>
      </c>
      <c r="F6" s="5" t="n">
        <v>0.4588</v>
      </c>
      <c r="G6" s="5" t="n">
        <v>2.0707</v>
      </c>
      <c r="H6" s="5" t="n">
        <v>0.7679</v>
      </c>
      <c r="I6" s="5" t="n">
        <v>1.2018</v>
      </c>
      <c r="J6" s="5" t="n">
        <v>0.7904</v>
      </c>
      <c r="K6" s="5" t="n">
        <v>0.7252999999999999</v>
      </c>
      <c r="L6" s="5" t="n">
        <v>0.4599</v>
      </c>
      <c r="M6" s="5" t="n">
        <v>2.359</v>
      </c>
      <c r="N6" s="7" t="inlineStr">
        <is>
          <t>NEEDS ANYLOGIC SIMULATION</t>
        </is>
      </c>
      <c r="O6" s="8" t="inlineStr">
        <is>
          <t>Yes</t>
        </is>
      </c>
    </row>
    <row r="7">
      <c r="A7" s="5" t="inlineStr">
        <is>
          <t>proposed_0012</t>
        </is>
      </c>
      <c r="B7" s="5" t="n">
        <v>0.7667</v>
      </c>
      <c r="C7" s="5" t="n">
        <v>2.8721</v>
      </c>
      <c r="D7" s="5" t="n">
        <v>0.787</v>
      </c>
      <c r="E7" s="5" t="n">
        <v>0.7241</v>
      </c>
      <c r="F7" s="5" t="n">
        <v>0.4588</v>
      </c>
      <c r="G7" s="5" t="n">
        <v>2.2518</v>
      </c>
      <c r="H7" s="5" t="n">
        <v>0.7679</v>
      </c>
      <c r="I7" s="5" t="n">
        <v>1.2018</v>
      </c>
      <c r="J7" s="5" t="n">
        <v>0.7904</v>
      </c>
      <c r="K7" s="5" t="n">
        <v>0.7252999999999999</v>
      </c>
      <c r="L7" s="5" t="n">
        <v>0.4599</v>
      </c>
      <c r="M7" s="5" t="n">
        <v>2.359</v>
      </c>
      <c r="N7" s="7" t="inlineStr">
        <is>
          <t>NEEDS ANYLOGIC SIMULATION</t>
        </is>
      </c>
      <c r="O7" s="8" t="inlineStr">
        <is>
          <t>Yes</t>
        </is>
      </c>
    </row>
    <row r="8">
      <c r="A8" s="5" t="inlineStr">
        <is>
          <t>proposed_0000</t>
        </is>
      </c>
      <c r="B8" s="5" t="n">
        <v>0.7417</v>
      </c>
      <c r="C8" s="5" t="n">
        <v>2.8342</v>
      </c>
      <c r="D8" s="5" t="n">
        <v>0.714</v>
      </c>
      <c r="E8" s="5" t="n">
        <v>0.6991000000000001</v>
      </c>
      <c r="F8" s="5" t="n">
        <v>0.4338</v>
      </c>
      <c r="G8" s="5" t="n">
        <v>2.0869</v>
      </c>
      <c r="H8" s="5" t="n">
        <v>0.7679</v>
      </c>
      <c r="I8" s="5" t="n">
        <v>1.2018</v>
      </c>
      <c r="J8" s="5" t="n">
        <v>0.7904</v>
      </c>
      <c r="K8" s="5" t="n">
        <v>0.7252999999999999</v>
      </c>
      <c r="L8" s="5" t="n">
        <v>0.4599</v>
      </c>
      <c r="M8" s="5" t="n">
        <v>2.359</v>
      </c>
      <c r="N8" s="7" t="inlineStr">
        <is>
          <t>NEEDS ANYLOGIC SIMULATION</t>
        </is>
      </c>
      <c r="O8" s="8" t="inlineStr">
        <is>
          <t>Yes</t>
        </is>
      </c>
    </row>
    <row r="9">
      <c r="A9" s="5" t="inlineStr">
        <is>
          <t>proposed_0010</t>
        </is>
      </c>
      <c r="B9" s="5" t="n">
        <v>0.7685999999999999</v>
      </c>
      <c r="C9" s="5" t="n">
        <v>2.819</v>
      </c>
      <c r="D9" s="5" t="n">
        <v>0.7672</v>
      </c>
      <c r="E9" s="5" t="n">
        <v>0.726</v>
      </c>
      <c r="F9" s="5" t="n">
        <v>0.4607</v>
      </c>
      <c r="G9" s="5" t="n">
        <v>2.0458</v>
      </c>
      <c r="H9" s="5" t="n">
        <v>0.7679</v>
      </c>
      <c r="I9" s="5" t="n">
        <v>1.2018</v>
      </c>
      <c r="J9" s="5" t="n">
        <v>0.7904</v>
      </c>
      <c r="K9" s="5" t="n">
        <v>0.7252999999999999</v>
      </c>
      <c r="L9" s="5" t="n">
        <v>0.4599</v>
      </c>
      <c r="M9" s="5" t="n">
        <v>2.359</v>
      </c>
      <c r="N9" s="7" t="inlineStr">
        <is>
          <t>NEEDS ANYLOGIC SIMULATION</t>
        </is>
      </c>
      <c r="O9" s="8" t="inlineStr">
        <is>
          <t>Yes</t>
        </is>
      </c>
    </row>
    <row r="10">
      <c r="A10" s="5" t="inlineStr">
        <is>
          <t>proposed_0019</t>
        </is>
      </c>
      <c r="B10" s="5" t="n">
        <v>0.7916</v>
      </c>
      <c r="C10" s="5" t="n">
        <v>2.7642</v>
      </c>
      <c r="D10" s="5" t="n">
        <v>0.7988</v>
      </c>
      <c r="E10" s="5" t="n">
        <v>0.749</v>
      </c>
      <c r="F10" s="5" t="n">
        <v>0.4836</v>
      </c>
      <c r="G10" s="5" t="n">
        <v>2.1815</v>
      </c>
      <c r="H10" s="5" t="n">
        <v>0.7679</v>
      </c>
      <c r="I10" s="5" t="n">
        <v>1.2018</v>
      </c>
      <c r="J10" s="5" t="n">
        <v>0.7904</v>
      </c>
      <c r="K10" s="5" t="n">
        <v>0.7252999999999999</v>
      </c>
      <c r="L10" s="5" t="n">
        <v>0.4599</v>
      </c>
      <c r="M10" s="5" t="n">
        <v>2.359</v>
      </c>
      <c r="N10" s="7" t="inlineStr">
        <is>
          <t>NEEDS ANYLOGIC SIMULATION</t>
        </is>
      </c>
      <c r="O10" s="8" t="inlineStr">
        <is>
          <t>Yes</t>
        </is>
      </c>
    </row>
    <row r="11">
      <c r="A11" s="5" t="inlineStr">
        <is>
          <t>proposed_0020</t>
        </is>
      </c>
      <c r="B11" s="5" t="n">
        <v>0.7508</v>
      </c>
      <c r="C11" s="5" t="n">
        <v>2.7041</v>
      </c>
      <c r="D11" s="5" t="n">
        <v>0.7444</v>
      </c>
      <c r="E11" s="5" t="n">
        <v>0.7082000000000001</v>
      </c>
      <c r="F11" s="5" t="n">
        <v>0.4428</v>
      </c>
      <c r="G11" s="5" t="n">
        <v>2.0259</v>
      </c>
      <c r="H11" s="5" t="n">
        <v>0.7679</v>
      </c>
      <c r="I11" s="5" t="n">
        <v>1.2018</v>
      </c>
      <c r="J11" s="5" t="n">
        <v>0.7904</v>
      </c>
      <c r="K11" s="5" t="n">
        <v>0.7252999999999999</v>
      </c>
      <c r="L11" s="5" t="n">
        <v>0.4599</v>
      </c>
      <c r="M11" s="5" t="n">
        <v>2.359</v>
      </c>
      <c r="N11" s="7" t="inlineStr">
        <is>
          <t>NEEDS ANYLOGIC SIMULATION</t>
        </is>
      </c>
      <c r="O11" s="8" t="inlineStr">
        <is>
          <t>Yes</t>
        </is>
      </c>
    </row>
    <row r="12">
      <c r="A12" s="5" t="inlineStr">
        <is>
          <t>proposed_0021</t>
        </is>
      </c>
      <c r="B12" s="5" t="n">
        <v>0.7409</v>
      </c>
      <c r="C12" s="5" t="n">
        <v>2.5507</v>
      </c>
      <c r="D12" s="5" t="n">
        <v>0.7288</v>
      </c>
      <c r="E12" s="5" t="n">
        <v>0.6983</v>
      </c>
      <c r="F12" s="5" t="n">
        <v>0.433</v>
      </c>
      <c r="G12" s="5" t="n">
        <v>2.0586</v>
      </c>
      <c r="H12" s="5" t="n">
        <v>0.7679</v>
      </c>
      <c r="I12" s="5" t="n">
        <v>1.2018</v>
      </c>
      <c r="J12" s="5" t="n">
        <v>0.7904</v>
      </c>
      <c r="K12" s="5" t="n">
        <v>0.7252999999999999</v>
      </c>
      <c r="L12" s="5" t="n">
        <v>0.4599</v>
      </c>
      <c r="M12" s="5" t="n">
        <v>2.359</v>
      </c>
      <c r="N12" s="7" t="inlineStr">
        <is>
          <t>NEEDS ANYLOGIC SIMULATION</t>
        </is>
      </c>
      <c r="O12" s="8" t="inlineStr">
        <is>
          <t>Yes</t>
        </is>
      </c>
    </row>
    <row r="13">
      <c r="A13" s="5" t="inlineStr">
        <is>
          <t>proposed_0007</t>
        </is>
      </c>
      <c r="B13" s="5" t="n">
        <v>0.7594</v>
      </c>
      <c r="C13" s="5" t="n">
        <v>2.4845</v>
      </c>
      <c r="D13" s="5" t="n">
        <v>0.7527</v>
      </c>
      <c r="E13" s="5" t="n">
        <v>0.7168</v>
      </c>
      <c r="F13" s="5" t="n">
        <v>0.4515</v>
      </c>
      <c r="G13" s="5" t="n">
        <v>2.0155</v>
      </c>
      <c r="H13" s="5" t="n">
        <v>0.7679</v>
      </c>
      <c r="I13" s="5" t="n">
        <v>1.2018</v>
      </c>
      <c r="J13" s="5" t="n">
        <v>0.7904</v>
      </c>
      <c r="K13" s="5" t="n">
        <v>0.7252999999999999</v>
      </c>
      <c r="L13" s="5" t="n">
        <v>0.4599</v>
      </c>
      <c r="M13" s="5" t="n">
        <v>2.359</v>
      </c>
      <c r="N13" s="7" t="inlineStr">
        <is>
          <t>NEEDS ANYLOGIC SIMULATION</t>
        </is>
      </c>
      <c r="O13" s="8" t="inlineStr">
        <is>
          <t>Yes</t>
        </is>
      </c>
    </row>
    <row r="14">
      <c r="A14" s="5" t="inlineStr">
        <is>
          <t>proposed_0014</t>
        </is>
      </c>
      <c r="B14" s="5" t="n">
        <v>0.7501</v>
      </c>
      <c r="C14" s="5" t="n">
        <v>0.9946</v>
      </c>
      <c r="D14" s="5" t="n">
        <v>0.7339</v>
      </c>
      <c r="E14" s="5" t="n">
        <v>0.7075</v>
      </c>
      <c r="F14" s="5" t="n">
        <v>0.4421</v>
      </c>
      <c r="G14" s="5" t="n">
        <v>2.3607</v>
      </c>
      <c r="H14" s="5" t="n">
        <v>0.7679</v>
      </c>
      <c r="I14" s="5" t="n">
        <v>1.2018</v>
      </c>
      <c r="J14" s="5" t="n">
        <v>0.7904</v>
      </c>
      <c r="K14" s="5" t="n">
        <v>0.7252999999999999</v>
      </c>
      <c r="L14" s="5" t="n">
        <v>0.4599</v>
      </c>
      <c r="M14" s="5" t="n">
        <v>2.359</v>
      </c>
      <c r="N14" s="7" t="inlineStr">
        <is>
          <t>NEEDS ANYLOGIC SIMULATION</t>
        </is>
      </c>
      <c r="O14" s="8" t="inlineStr">
        <is>
          <t>Yes</t>
        </is>
      </c>
    </row>
    <row r="15">
      <c r="A15" s="5" t="inlineStr">
        <is>
          <t>proposed_0006</t>
        </is>
      </c>
      <c r="B15" s="5" t="n">
        <v>0.7514</v>
      </c>
      <c r="C15" s="5" t="n">
        <v>1.051</v>
      </c>
      <c r="D15" s="5" t="n">
        <v>0.7591</v>
      </c>
      <c r="E15" s="5" t="n">
        <v>0.7088</v>
      </c>
      <c r="F15" s="5" t="n">
        <v>0.4434</v>
      </c>
      <c r="G15" s="5" t="n">
        <v>2.3089</v>
      </c>
      <c r="H15" s="5" t="n">
        <v>0.7679</v>
      </c>
      <c r="I15" s="5" t="n">
        <v>1.2018</v>
      </c>
      <c r="J15" s="5" t="n">
        <v>0.7904</v>
      </c>
      <c r="K15" s="5" t="n">
        <v>0.7252999999999999</v>
      </c>
      <c r="L15" s="5" t="n">
        <v>0.4599</v>
      </c>
      <c r="M15" s="5" t="n">
        <v>2.359</v>
      </c>
      <c r="N15" s="6" t="inlineStr">
        <is>
          <t>Trust ML prediction</t>
        </is>
      </c>
      <c r="O15" s="5" t="inlineStr">
        <is>
          <t>--</t>
        </is>
      </c>
    </row>
    <row r="16">
      <c r="A16" s="5" t="inlineStr">
        <is>
          <t>proposed_0005</t>
        </is>
      </c>
      <c r="B16" s="5" t="n">
        <v>0.7538</v>
      </c>
      <c r="C16" s="5" t="n">
        <v>0.9354</v>
      </c>
      <c r="D16" s="5" t="n">
        <v>0.7711</v>
      </c>
      <c r="E16" s="5" t="n">
        <v>0.7112000000000001</v>
      </c>
      <c r="F16" s="5" t="n">
        <v>0.4459</v>
      </c>
      <c r="G16" s="5" t="n">
        <v>2.2617</v>
      </c>
      <c r="H16" s="5" t="n">
        <v>0.7679</v>
      </c>
      <c r="I16" s="5" t="n">
        <v>1.2018</v>
      </c>
      <c r="J16" s="5" t="n">
        <v>0.7904</v>
      </c>
      <c r="K16" s="5" t="n">
        <v>0.7252999999999999</v>
      </c>
      <c r="L16" s="5" t="n">
        <v>0.4599</v>
      </c>
      <c r="M16" s="5" t="n">
        <v>2.359</v>
      </c>
      <c r="N16" s="6" t="inlineStr">
        <is>
          <t>Trust ML prediction</t>
        </is>
      </c>
      <c r="O16" s="5" t="inlineStr">
        <is>
          <t>--</t>
        </is>
      </c>
    </row>
    <row r="17">
      <c r="A17" s="5" t="inlineStr">
        <is>
          <t>proposed_0024</t>
        </is>
      </c>
      <c r="B17" s="5" t="n">
        <v>0.7728</v>
      </c>
      <c r="C17" s="5" t="n">
        <v>2.0574</v>
      </c>
      <c r="D17" s="5" t="n">
        <v>0.8336</v>
      </c>
      <c r="E17" s="5" t="n">
        <v>0.7302</v>
      </c>
      <c r="F17" s="5" t="n">
        <v>0.4649</v>
      </c>
      <c r="G17" s="5" t="n">
        <v>2.2565</v>
      </c>
      <c r="H17" s="5" t="n">
        <v>0.7679</v>
      </c>
      <c r="I17" s="5" t="n">
        <v>1.2018</v>
      </c>
      <c r="J17" s="5" t="n">
        <v>0.7904</v>
      </c>
      <c r="K17" s="5" t="n">
        <v>0.7252999999999999</v>
      </c>
      <c r="L17" s="5" t="n">
        <v>0.4599</v>
      </c>
      <c r="M17" s="5" t="n">
        <v>2.359</v>
      </c>
      <c r="N17" s="7" t="inlineStr">
        <is>
          <t>NEEDS ANYLOGIC SIMULATION</t>
        </is>
      </c>
      <c r="O17" s="5" t="inlineStr">
        <is>
          <t>No (capped out)</t>
        </is>
      </c>
    </row>
    <row r="18">
      <c r="A18" s="5" t="inlineStr">
        <is>
          <t>proposed_0011</t>
        </is>
      </c>
      <c r="B18" s="5" t="n">
        <v>0.7645</v>
      </c>
      <c r="C18" s="5" t="n">
        <v>1.0991</v>
      </c>
      <c r="D18" s="5" t="n">
        <v>0.7816</v>
      </c>
      <c r="E18" s="5" t="n">
        <v>0.7219</v>
      </c>
      <c r="F18" s="5" t="n">
        <v>0.4565</v>
      </c>
      <c r="G18" s="5" t="n">
        <v>2.2514</v>
      </c>
      <c r="H18" s="5" t="n">
        <v>0.7679</v>
      </c>
      <c r="I18" s="5" t="n">
        <v>1.2018</v>
      </c>
      <c r="J18" s="5" t="n">
        <v>0.7904</v>
      </c>
      <c r="K18" s="5" t="n">
        <v>0.7252999999999999</v>
      </c>
      <c r="L18" s="5" t="n">
        <v>0.4599</v>
      </c>
      <c r="M18" s="5" t="n">
        <v>2.359</v>
      </c>
      <c r="N18" s="6" t="inlineStr">
        <is>
          <t>Trust ML prediction</t>
        </is>
      </c>
      <c r="O18" s="5" t="inlineStr">
        <is>
          <t>--</t>
        </is>
      </c>
    </row>
    <row r="19">
      <c r="A19" s="5" t="inlineStr">
        <is>
          <t>proposed_0008</t>
        </is>
      </c>
      <c r="B19" s="5" t="n">
        <v>0.7409</v>
      </c>
      <c r="C19" s="5" t="n">
        <v>0.7912</v>
      </c>
      <c r="D19" s="5" t="n">
        <v>0.748</v>
      </c>
      <c r="E19" s="5" t="n">
        <v>0.6983</v>
      </c>
      <c r="F19" s="5" t="n">
        <v>0.433</v>
      </c>
      <c r="G19" s="5" t="n">
        <v>2.1943</v>
      </c>
      <c r="H19" s="5" t="n">
        <v>0.7679</v>
      </c>
      <c r="I19" s="5" t="n">
        <v>1.2018</v>
      </c>
      <c r="J19" s="5" t="n">
        <v>0.7904</v>
      </c>
      <c r="K19" s="5" t="n">
        <v>0.7252999999999999</v>
      </c>
      <c r="L19" s="5" t="n">
        <v>0.4599</v>
      </c>
      <c r="M19" s="5" t="n">
        <v>2.359</v>
      </c>
      <c r="N19" s="6" t="inlineStr">
        <is>
          <t>Trust ML prediction</t>
        </is>
      </c>
      <c r="O19" s="5" t="inlineStr">
        <is>
          <t>--</t>
        </is>
      </c>
    </row>
    <row r="20">
      <c r="A20" s="5" t="inlineStr">
        <is>
          <t>proposed_0015</t>
        </is>
      </c>
      <c r="B20" s="5" t="n">
        <v>0.7765</v>
      </c>
      <c r="C20" s="5" t="n">
        <v>1.8799</v>
      </c>
      <c r="D20" s="5" t="n">
        <v>0.7687</v>
      </c>
      <c r="E20" s="5" t="n">
        <v>0.7339</v>
      </c>
      <c r="F20" s="5" t="n">
        <v>0.4686</v>
      </c>
      <c r="G20" s="5" t="n">
        <v>2.1357</v>
      </c>
      <c r="H20" s="5" t="n">
        <v>0.7679</v>
      </c>
      <c r="I20" s="5" t="n">
        <v>1.2018</v>
      </c>
      <c r="J20" s="5" t="n">
        <v>0.7904</v>
      </c>
      <c r="K20" s="5" t="n">
        <v>0.7252999999999999</v>
      </c>
      <c r="L20" s="5" t="n">
        <v>0.4599</v>
      </c>
      <c r="M20" s="5" t="n">
        <v>2.359</v>
      </c>
      <c r="N20" s="7" t="inlineStr">
        <is>
          <t>NEEDS ANYLOGIC SIMULATION</t>
        </is>
      </c>
      <c r="O20" s="5" t="inlineStr">
        <is>
          <t>No (capped out)</t>
        </is>
      </c>
    </row>
    <row r="21">
      <c r="A21" s="5" t="inlineStr">
        <is>
          <t>proposed_0022</t>
        </is>
      </c>
      <c r="B21" s="5" t="n">
        <v>0.7562</v>
      </c>
      <c r="C21" s="5" t="n">
        <v>2.1083</v>
      </c>
      <c r="D21" s="5" t="n">
        <v>0.7627</v>
      </c>
      <c r="E21" s="5" t="n">
        <v>0.7136</v>
      </c>
      <c r="F21" s="5" t="n">
        <v>0.4483</v>
      </c>
      <c r="G21" s="5" t="n">
        <v>1.9783</v>
      </c>
      <c r="H21" s="5" t="n">
        <v>0.7679</v>
      </c>
      <c r="I21" s="5" t="n">
        <v>1.2018</v>
      </c>
      <c r="J21" s="5" t="n">
        <v>0.7904</v>
      </c>
      <c r="K21" s="5" t="n">
        <v>0.7252999999999999</v>
      </c>
      <c r="L21" s="5" t="n">
        <v>0.4599</v>
      </c>
      <c r="M21" s="5" t="n">
        <v>2.359</v>
      </c>
      <c r="N21" s="7" t="inlineStr">
        <is>
          <t>NEEDS ANYLOGIC SIMULATION</t>
        </is>
      </c>
      <c r="O21" s="5" t="inlineStr">
        <is>
          <t>No (capped out)</t>
        </is>
      </c>
    </row>
    <row r="22">
      <c r="A22" s="5" t="inlineStr">
        <is>
          <t>proposed_0016</t>
        </is>
      </c>
      <c r="B22" s="5" t="n">
        <v>0.745</v>
      </c>
      <c r="C22" s="5" t="n">
        <v>1.9008</v>
      </c>
      <c r="D22" s="5" t="n">
        <v>0.7339</v>
      </c>
      <c r="E22" s="5" t="n">
        <v>0.7024</v>
      </c>
      <c r="F22" s="5" t="n">
        <v>0.4371</v>
      </c>
      <c r="G22" s="5" t="n">
        <v>2.0838</v>
      </c>
      <c r="H22" s="5" t="n">
        <v>0.7679</v>
      </c>
      <c r="I22" s="5" t="n">
        <v>1.2018</v>
      </c>
      <c r="J22" s="5" t="n">
        <v>0.7904</v>
      </c>
      <c r="K22" s="5" t="n">
        <v>0.7252999999999999</v>
      </c>
      <c r="L22" s="5" t="n">
        <v>0.4599</v>
      </c>
      <c r="M22" s="5" t="n">
        <v>2.359</v>
      </c>
      <c r="N22" s="7" t="inlineStr">
        <is>
          <t>NEEDS ANYLOGIC SIMULATION</t>
        </is>
      </c>
      <c r="O22" s="5" t="inlineStr">
        <is>
          <t>No (capped out)</t>
        </is>
      </c>
    </row>
    <row r="23">
      <c r="A23" s="5" t="inlineStr">
        <is>
          <t>proposed_0023</t>
        </is>
      </c>
      <c r="B23" s="5" t="n">
        <v>0.7441</v>
      </c>
      <c r="C23" s="5" t="n">
        <v>0.9427</v>
      </c>
      <c r="D23" s="5" t="n">
        <v>0.7568</v>
      </c>
      <c r="E23" s="5" t="n">
        <v>0.7015</v>
      </c>
      <c r="F23" s="5" t="n">
        <v>0.4362</v>
      </c>
      <c r="G23" s="5" t="n">
        <v>2.0788</v>
      </c>
      <c r="H23" s="5" t="n">
        <v>0.7679</v>
      </c>
      <c r="I23" s="5" t="n">
        <v>1.2018</v>
      </c>
      <c r="J23" s="5" t="n">
        <v>0.7904</v>
      </c>
      <c r="K23" s="5" t="n">
        <v>0.7252999999999999</v>
      </c>
      <c r="L23" s="5" t="n">
        <v>0.4599</v>
      </c>
      <c r="M23" s="5" t="n">
        <v>2.359</v>
      </c>
      <c r="N23" s="6" t="inlineStr">
        <is>
          <t>Trust ML prediction</t>
        </is>
      </c>
      <c r="O23" s="5" t="inlineStr">
        <is>
          <t>--</t>
        </is>
      </c>
    </row>
    <row r="24">
      <c r="A24" s="5" t="inlineStr">
        <is>
          <t>proposed_0003</t>
        </is>
      </c>
      <c r="B24" s="5" t="n">
        <v>0.7519</v>
      </c>
      <c r="C24" s="5" t="n">
        <v>0.8836000000000001</v>
      </c>
      <c r="D24" s="5" t="n">
        <v>0.7395</v>
      </c>
      <c r="E24" s="5" t="n">
        <v>0.7093</v>
      </c>
      <c r="F24" s="5" t="n">
        <v>0.444</v>
      </c>
      <c r="G24" s="5" t="n">
        <v>2.0522</v>
      </c>
      <c r="H24" s="5" t="n">
        <v>0.7679</v>
      </c>
      <c r="I24" s="5" t="n">
        <v>1.2018</v>
      </c>
      <c r="J24" s="5" t="n">
        <v>0.7904</v>
      </c>
      <c r="K24" s="5" t="n">
        <v>0.7252999999999999</v>
      </c>
      <c r="L24" s="5" t="n">
        <v>0.4599</v>
      </c>
      <c r="M24" s="5" t="n">
        <v>2.359</v>
      </c>
      <c r="N24" s="6" t="inlineStr">
        <is>
          <t>Trust ML prediction</t>
        </is>
      </c>
      <c r="O24" s="5" t="inlineStr">
        <is>
          <t>--</t>
        </is>
      </c>
    </row>
    <row r="25">
      <c r="A25" s="5" t="inlineStr">
        <is>
          <t>proposed_0017</t>
        </is>
      </c>
      <c r="B25" s="5" t="n">
        <v>0.7793</v>
      </c>
      <c r="C25" s="5" t="n">
        <v>1.1924</v>
      </c>
      <c r="D25" s="5" t="n">
        <v>0.7712</v>
      </c>
      <c r="E25" s="5" t="n">
        <v>0.7367</v>
      </c>
      <c r="F25" s="5" t="n">
        <v>0.4713</v>
      </c>
      <c r="G25" s="5" t="n">
        <v>2.0353</v>
      </c>
      <c r="H25" s="5" t="n">
        <v>0.7679</v>
      </c>
      <c r="I25" s="5" t="n">
        <v>1.2018</v>
      </c>
      <c r="J25" s="5" t="n">
        <v>0.7904</v>
      </c>
      <c r="K25" s="5" t="n">
        <v>0.7252999999999999</v>
      </c>
      <c r="L25" s="5" t="n">
        <v>0.4599</v>
      </c>
      <c r="M25" s="5" t="n">
        <v>2.359</v>
      </c>
      <c r="N25" s="7" t="inlineStr">
        <is>
          <t>NEEDS ANYLOGIC SIMULATION</t>
        </is>
      </c>
      <c r="O25" s="5" t="inlineStr">
        <is>
          <t>No (capped out)</t>
        </is>
      </c>
    </row>
    <row r="26">
      <c r="A26" s="5" t="inlineStr">
        <is>
          <t>proposed_0009</t>
        </is>
      </c>
      <c r="B26" s="5" t="n">
        <v>0.7614</v>
      </c>
      <c r="C26" s="5" t="n">
        <v>1.5556</v>
      </c>
      <c r="D26" s="5" t="n">
        <v>0.737</v>
      </c>
      <c r="E26" s="5" t="n">
        <v>0.7188</v>
      </c>
      <c r="F26" s="5" t="n">
        <v>0.4534</v>
      </c>
      <c r="G26" s="5" t="n">
        <v>2.0267</v>
      </c>
      <c r="H26" s="5" t="n">
        <v>0.7679</v>
      </c>
      <c r="I26" s="5" t="n">
        <v>1.2018</v>
      </c>
      <c r="J26" s="5" t="n">
        <v>0.7904</v>
      </c>
      <c r="K26" s="5" t="n">
        <v>0.7252999999999999</v>
      </c>
      <c r="L26" s="5" t="n">
        <v>0.4599</v>
      </c>
      <c r="M26" s="5" t="n">
        <v>2.359</v>
      </c>
      <c r="N26" s="7" t="inlineStr">
        <is>
          <t>NEEDS ANYLOGIC SIMULATION</t>
        </is>
      </c>
      <c r="O26" s="5" t="inlineStr">
        <is>
          <t>No (capped out)</t>
        </is>
      </c>
    </row>
    <row r="27">
      <c r="A27" s="5" t="inlineStr">
        <is>
          <t>proposed_0018</t>
        </is>
      </c>
      <c r="B27" s="5" t="n">
        <v>0.7584</v>
      </c>
      <c r="C27" s="5" t="n">
        <v>1.2972</v>
      </c>
      <c r="D27" s="5" t="n">
        <v>0.7632</v>
      </c>
      <c r="E27" s="5" t="n">
        <v>0.7158</v>
      </c>
      <c r="F27" s="5" t="n">
        <v>0.4505</v>
      </c>
      <c r="G27" s="5" t="n">
        <v>2.0145</v>
      </c>
      <c r="H27" s="5" t="n">
        <v>0.7679</v>
      </c>
      <c r="I27" s="5" t="n">
        <v>1.2018</v>
      </c>
      <c r="J27" s="5" t="n">
        <v>0.7904</v>
      </c>
      <c r="K27" s="5" t="n">
        <v>0.7252999999999999</v>
      </c>
      <c r="L27" s="5" t="n">
        <v>0.4599</v>
      </c>
      <c r="M27" s="5" t="n">
        <v>2.359</v>
      </c>
      <c r="N27" s="7" t="inlineStr">
        <is>
          <t>NEEDS ANYLOGIC SIMULATION</t>
        </is>
      </c>
      <c r="O27" s="5" t="inlineStr">
        <is>
          <t>No (capped out)</t>
        </is>
      </c>
    </row>
    <row r="28">
      <c r="A28" s="5" t="inlineStr">
        <is>
          <t>proposed_0001</t>
        </is>
      </c>
      <c r="B28" s="5" t="n">
        <v>0.757</v>
      </c>
      <c r="C28" s="5" t="n">
        <v>1.8033</v>
      </c>
      <c r="D28" s="5" t="n">
        <v>0.7685</v>
      </c>
      <c r="E28" s="5" t="n">
        <v>0.7144</v>
      </c>
      <c r="F28" s="5" t="n">
        <v>0.4491</v>
      </c>
      <c r="G28" s="5" t="n">
        <v>2.0039</v>
      </c>
      <c r="H28" s="5" t="n">
        <v>0.7679</v>
      </c>
      <c r="I28" s="5" t="n">
        <v>1.2018</v>
      </c>
      <c r="J28" s="5" t="n">
        <v>0.7904</v>
      </c>
      <c r="K28" s="5" t="n">
        <v>0.7252999999999999</v>
      </c>
      <c r="L28" s="5" t="n">
        <v>0.4599</v>
      </c>
      <c r="M28" s="5" t="n">
        <v>2.359</v>
      </c>
      <c r="N28" s="7" t="inlineStr">
        <is>
          <t>NEEDS ANYLOGIC SIMULATION</t>
        </is>
      </c>
      <c r="O28" s="5" t="inlineStr">
        <is>
          <t>No (capped out)</t>
        </is>
      </c>
    </row>
    <row r="29">
      <c r="A29" s="5" t="inlineStr">
        <is>
          <t>proposed_0002</t>
        </is>
      </c>
      <c r="B29" s="5" t="n">
        <v>0.7597</v>
      </c>
      <c r="C29" s="5" t="n">
        <v>1.6775</v>
      </c>
      <c r="D29" s="5" t="n">
        <v>0.7617</v>
      </c>
      <c r="E29" s="5" t="n">
        <v>0.7171</v>
      </c>
      <c r="F29" s="5" t="n">
        <v>0.4518</v>
      </c>
      <c r="G29" s="5" t="n">
        <v>1.9983</v>
      </c>
      <c r="H29" s="5" t="n">
        <v>0.7679</v>
      </c>
      <c r="I29" s="5" t="n">
        <v>1.2018</v>
      </c>
      <c r="J29" s="5" t="n">
        <v>0.7904</v>
      </c>
      <c r="K29" s="5" t="n">
        <v>0.7252999999999999</v>
      </c>
      <c r="L29" s="5" t="n">
        <v>0.4599</v>
      </c>
      <c r="M29" s="5" t="n">
        <v>2.359</v>
      </c>
      <c r="N29" s="7" t="inlineStr">
        <is>
          <t>NEEDS ANYLOGIC SIMULATION</t>
        </is>
      </c>
      <c r="O29" s="5" t="inlineStr">
        <is>
          <t>No (capped out)</t>
        </is>
      </c>
    </row>
  </sheetData>
  <mergeCells count="1"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PROVEN_6 Trust Report</dc:title>
  <dcterms:created xsi:type="dcterms:W3CDTF">2026-09-01T17:41:08Z</dcterms:created>
  <dcterms:modified xsi:type="dcterms:W3CDTF">2026-09-05T18:43:22Z</dcterms:modified>
</cp:coreProperties>
</file>